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audshaikh/Documents/France/Finance Portfolio/3. Solar project - France/"/>
    </mc:Choice>
  </mc:AlternateContent>
  <xr:revisionPtr revIDLastSave="0" documentId="13_ncr:1_{40C43FC5-D874-E04E-ACB9-DC0E2912063A}" xr6:coauthVersionLast="47" xr6:coauthVersionMax="47" xr10:uidLastSave="{00000000-0000-0000-0000-000000000000}"/>
  <bookViews>
    <workbookView xWindow="0" yWindow="0" windowWidth="28800" windowHeight="18000" tabRatio="500" activeTab="7" xr2:uid="{00000000-000D-0000-FFFF-FFFF00000000}"/>
  </bookViews>
  <sheets>
    <sheet name="Cover" sheetId="1" r:id="rId1"/>
    <sheet name="Inputs" sheetId="2" r:id="rId2"/>
    <sheet name="Timing" sheetId="3" r:id="rId3"/>
    <sheet name="Construction" sheetId="4" r:id="rId4"/>
    <sheet name="Operations" sheetId="5" r:id="rId5"/>
    <sheet name="Debt" sheetId="6" r:id="rId6"/>
    <sheet name="Returns" sheetId="7" r:id="rId7"/>
    <sheet name="Sensitivities" sheetId="8" r:id="rId8"/>
    <sheet name="Checks" sheetId="9" r:id="rId9"/>
  </sheets>
  <definedNames>
    <definedName name="_xlnm.Print_Area" localSheetId="8">Checks!$A$2:$C$24</definedName>
    <definedName name="_xlnm.Print_Area" localSheetId="0">Cover!$A$2:$F$42</definedName>
    <definedName name="_xlnm.Print_Area" localSheetId="7">Sensitivities!$A$2:$J$56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7" l="1"/>
  <c r="E11" i="7"/>
  <c r="F10" i="7"/>
  <c r="E10" i="7"/>
  <c r="F5" i="7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AW5" i="7" s="1"/>
  <c r="AX5" i="7" s="1"/>
  <c r="AY5" i="7" s="1"/>
  <c r="AZ5" i="7" s="1"/>
  <c r="BA5" i="7" s="1"/>
  <c r="BB5" i="7" s="1"/>
  <c r="BC5" i="7" s="1"/>
  <c r="BD5" i="7" s="1"/>
  <c r="BD43" i="6"/>
  <c r="F36" i="6"/>
  <c r="E43" i="6" s="1"/>
  <c r="E36" i="6"/>
  <c r="C7" i="6"/>
  <c r="F5" i="6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AH5" i="6" s="1"/>
  <c r="AI5" i="6" s="1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BC5" i="6" s="1"/>
  <c r="BD5" i="6" s="1"/>
  <c r="F29" i="5"/>
  <c r="E29" i="5"/>
  <c r="F5" i="5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AG5" i="5" s="1"/>
  <c r="AH5" i="5" s="1"/>
  <c r="AI5" i="5" s="1"/>
  <c r="AJ5" i="5" s="1"/>
  <c r="AK5" i="5" s="1"/>
  <c r="AL5" i="5" s="1"/>
  <c r="AM5" i="5" s="1"/>
  <c r="AN5" i="5" s="1"/>
  <c r="AO5" i="5" s="1"/>
  <c r="AP5" i="5" s="1"/>
  <c r="AQ5" i="5" s="1"/>
  <c r="AR5" i="5" s="1"/>
  <c r="AS5" i="5" s="1"/>
  <c r="AT5" i="5" s="1"/>
  <c r="AU5" i="5" s="1"/>
  <c r="AV5" i="5" s="1"/>
  <c r="AW5" i="5" s="1"/>
  <c r="AX5" i="5" s="1"/>
  <c r="AY5" i="5" s="1"/>
  <c r="AZ5" i="5" s="1"/>
  <c r="BA5" i="5" s="1"/>
  <c r="BB5" i="5" s="1"/>
  <c r="BC5" i="5" s="1"/>
  <c r="BD5" i="5" s="1"/>
  <c r="C34" i="4"/>
  <c r="D46" i="6" s="1"/>
  <c r="E44" i="6" s="1"/>
  <c r="C33" i="4"/>
  <c r="C32" i="4"/>
  <c r="F8" i="4"/>
  <c r="E8" i="4"/>
  <c r="F5" i="4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AV5" i="4" s="1"/>
  <c r="AW5" i="4" s="1"/>
  <c r="AX5" i="4" s="1"/>
  <c r="AY5" i="4" s="1"/>
  <c r="AZ5" i="4" s="1"/>
  <c r="BA5" i="4" s="1"/>
  <c r="BB5" i="4" s="1"/>
  <c r="BC5" i="4" s="1"/>
  <c r="BD5" i="4" s="1"/>
  <c r="F11" i="3"/>
  <c r="E11" i="3"/>
  <c r="E10" i="3"/>
  <c r="E5" i="3"/>
  <c r="F4" i="3"/>
  <c r="C25" i="2"/>
  <c r="C17" i="1"/>
  <c r="BD46" i="6" l="1"/>
  <c r="E45" i="6"/>
  <c r="E14" i="7" s="1"/>
  <c r="E46" i="6"/>
  <c r="F44" i="6" s="1"/>
  <c r="F15" i="4"/>
  <c r="F14" i="4"/>
  <c r="F18" i="4" s="1"/>
  <c r="E14" i="4"/>
  <c r="E9" i="4"/>
  <c r="F9" i="4" s="1"/>
  <c r="E15" i="4"/>
  <c r="C31" i="4"/>
  <c r="F12" i="3"/>
  <c r="F18" i="3"/>
  <c r="F13" i="3"/>
  <c r="F6" i="5" s="1"/>
  <c r="F12" i="6"/>
  <c r="F17" i="3"/>
  <c r="E12" i="3"/>
  <c r="E18" i="3"/>
  <c r="E12" i="6"/>
  <c r="E13" i="3"/>
  <c r="E6" i="5" s="1"/>
  <c r="E6" i="3"/>
  <c r="E7" i="3" s="1"/>
  <c r="E8" i="3" s="1"/>
  <c r="F5" i="3"/>
  <c r="F10" i="3"/>
  <c r="G4" i="3"/>
  <c r="E18" i="4" l="1"/>
  <c r="E24" i="4" s="1"/>
  <c r="C42" i="4"/>
  <c r="C36" i="4"/>
  <c r="C20" i="6"/>
  <c r="F10" i="5"/>
  <c r="F12" i="5" s="1"/>
  <c r="F21" i="5"/>
  <c r="E10" i="5"/>
  <c r="E12" i="5" s="1"/>
  <c r="E21" i="5"/>
  <c r="G5" i="3"/>
  <c r="F6" i="3"/>
  <c r="F7" i="3" s="1"/>
  <c r="F8" i="3" s="1"/>
  <c r="H4" i="3"/>
  <c r="G10" i="3"/>
  <c r="G11" i="3"/>
  <c r="F14" i="6"/>
  <c r="F15" i="3"/>
  <c r="E14" i="6"/>
  <c r="E17" i="3"/>
  <c r="E15" i="3"/>
  <c r="F17" i="4" l="1"/>
  <c r="E21" i="4"/>
  <c r="E22" i="4" s="1"/>
  <c r="E27" i="5"/>
  <c r="F27" i="5"/>
  <c r="H5" i="3"/>
  <c r="G6" i="3"/>
  <c r="G7" i="3" s="1"/>
  <c r="G8" i="3" s="1"/>
  <c r="I4" i="3"/>
  <c r="H10" i="3"/>
  <c r="H11" i="3"/>
  <c r="G12" i="3"/>
  <c r="G13" i="3"/>
  <c r="G6" i="5" s="1"/>
  <c r="F16" i="3"/>
  <c r="F16" i="5"/>
  <c r="F17" i="5" s="1"/>
  <c r="F23" i="5" s="1"/>
  <c r="E16" i="3"/>
  <c r="E16" i="5" s="1"/>
  <c r="E17" i="5" s="1"/>
  <c r="E23" i="5" s="1"/>
  <c r="F17" i="1"/>
  <c r="C11" i="9"/>
  <c r="F24" i="4" l="1"/>
  <c r="I5" i="3"/>
  <c r="H6" i="3"/>
  <c r="H7" i="3" s="1"/>
  <c r="H8" i="3" s="1"/>
  <c r="J4" i="3"/>
  <c r="I10" i="3"/>
  <c r="I11" i="3"/>
  <c r="H12" i="3"/>
  <c r="H14" i="6" s="1"/>
  <c r="H13" i="3"/>
  <c r="H6" i="5" s="1"/>
  <c r="H15" i="3"/>
  <c r="H17" i="3"/>
  <c r="H18" i="3"/>
  <c r="H27" i="5" s="1"/>
  <c r="G10" i="5"/>
  <c r="G12" i="5" s="1"/>
  <c r="G21" i="5"/>
  <c r="F13" i="6"/>
  <c r="F28" i="5"/>
  <c r="F30" i="5" s="1"/>
  <c r="E28" i="5"/>
  <c r="E30" i="5" s="1"/>
  <c r="E13" i="6"/>
  <c r="G14" i="6"/>
  <c r="G15" i="3"/>
  <c r="G17" i="3"/>
  <c r="G18" i="3"/>
  <c r="J5" i="3" l="1"/>
  <c r="I6" i="3"/>
  <c r="I7" i="3" s="1"/>
  <c r="I8" i="3" s="1"/>
  <c r="K4" i="3"/>
  <c r="J10" i="3"/>
  <c r="J11" i="3"/>
  <c r="I12" i="3"/>
  <c r="H10" i="5"/>
  <c r="H12" i="5" s="1"/>
  <c r="C22" i="9" s="1"/>
  <c r="H21" i="5"/>
  <c r="F31" i="5"/>
  <c r="E31" i="5"/>
  <c r="E33" i="5" s="1"/>
  <c r="E32" i="5"/>
  <c r="G12" i="6"/>
  <c r="G16" i="3"/>
  <c r="G16" i="5"/>
  <c r="G17" i="5" s="1"/>
  <c r="G23" i="5" s="1"/>
  <c r="G27" i="5"/>
  <c r="G17" i="4"/>
  <c r="F21" i="4"/>
  <c r="F22" i="4" s="1"/>
  <c r="C23" i="9" s="1"/>
  <c r="H12" i="6"/>
  <c r="H16" i="3"/>
  <c r="H16" i="5" s="1"/>
  <c r="K5" i="3" l="1"/>
  <c r="J6" i="3"/>
  <c r="J7" i="3" s="1"/>
  <c r="J8" i="3" s="1"/>
  <c r="L4" i="3"/>
  <c r="K10" i="3"/>
  <c r="K11" i="3"/>
  <c r="J13" i="3"/>
  <c r="J6" i="5" s="1"/>
  <c r="J15" i="3"/>
  <c r="J12" i="3"/>
  <c r="E34" i="5"/>
  <c r="E37" i="5" s="1"/>
  <c r="E35" i="5"/>
  <c r="E30" i="7"/>
  <c r="E31" i="7" s="1"/>
  <c r="G13" i="6"/>
  <c r="G31" i="6" s="1"/>
  <c r="G28" i="5"/>
  <c r="H17" i="5"/>
  <c r="H23" i="5" s="1"/>
  <c r="I14" i="6"/>
  <c r="I18" i="3"/>
  <c r="I13" i="3"/>
  <c r="I6" i="5" s="1"/>
  <c r="I15" i="3"/>
  <c r="I17" i="3"/>
  <c r="F33" i="5"/>
  <c r="F32" i="5"/>
  <c r="L5" i="3" l="1"/>
  <c r="K6" i="3"/>
  <c r="K7" i="3" s="1"/>
  <c r="K8" i="3" s="1"/>
  <c r="M4" i="3"/>
  <c r="L10" i="3"/>
  <c r="L11" i="3"/>
  <c r="K13" i="3"/>
  <c r="K6" i="5" s="1"/>
  <c r="K15" i="3"/>
  <c r="K16" i="3"/>
  <c r="K17" i="3"/>
  <c r="K18" i="3"/>
  <c r="K27" i="5" s="1"/>
  <c r="K12" i="3"/>
  <c r="K14" i="6" s="1"/>
  <c r="J10" i="5"/>
  <c r="J12" i="5" s="1"/>
  <c r="J21" i="5"/>
  <c r="E9" i="7"/>
  <c r="E13" i="7" s="1"/>
  <c r="E15" i="7" s="1"/>
  <c r="E38" i="6"/>
  <c r="H28" i="5"/>
  <c r="H13" i="6"/>
  <c r="H31" i="6" s="1"/>
  <c r="I27" i="5"/>
  <c r="I21" i="5"/>
  <c r="I10" i="5"/>
  <c r="I12" i="5" s="1"/>
  <c r="I12" i="6"/>
  <c r="I16" i="3"/>
  <c r="I16" i="5"/>
  <c r="F30" i="7"/>
  <c r="F31" i="7" s="1"/>
  <c r="F34" i="5"/>
  <c r="J16" i="3"/>
  <c r="J16" i="5" s="1"/>
  <c r="J17" i="5" s="1"/>
  <c r="J23" i="5" s="1"/>
  <c r="J12" i="6"/>
  <c r="J14" i="6"/>
  <c r="J17" i="3"/>
  <c r="J18" i="3"/>
  <c r="J27" i="5" s="1"/>
  <c r="M5" i="3" l="1"/>
  <c r="L6" i="3"/>
  <c r="L7" i="3" s="1"/>
  <c r="L8" i="3" s="1"/>
  <c r="N4" i="3"/>
  <c r="M10" i="3"/>
  <c r="M11" i="3"/>
  <c r="L12" i="3"/>
  <c r="L18" i="3"/>
  <c r="L27" i="5" s="1"/>
  <c r="K10" i="5"/>
  <c r="K12" i="5" s="1"/>
  <c r="K21" i="5"/>
  <c r="E16" i="7"/>
  <c r="E21" i="7"/>
  <c r="E22" i="7" s="1"/>
  <c r="E23" i="7" s="1"/>
  <c r="E24" i="7" s="1"/>
  <c r="J13" i="6"/>
  <c r="J31" i="6" s="1"/>
  <c r="J28" i="5"/>
  <c r="K16" i="5"/>
  <c r="I17" i="5"/>
  <c r="I23" i="5" s="1"/>
  <c r="K12" i="6"/>
  <c r="F37" i="5"/>
  <c r="F35" i="5"/>
  <c r="N5" i="3" l="1"/>
  <c r="M6" i="3"/>
  <c r="M7" i="3" s="1"/>
  <c r="M8" i="3" s="1"/>
  <c r="O4" i="3"/>
  <c r="N10" i="3"/>
  <c r="N11" i="3"/>
  <c r="M13" i="3"/>
  <c r="M6" i="5" s="1"/>
  <c r="M15" i="3"/>
  <c r="M12" i="3"/>
  <c r="M18" i="3"/>
  <c r="M27" i="5" s="1"/>
  <c r="E38" i="7"/>
  <c r="I28" i="5"/>
  <c r="I13" i="6"/>
  <c r="I31" i="6" s="1"/>
  <c r="F38" i="6"/>
  <c r="F9" i="7"/>
  <c r="F13" i="7" s="1"/>
  <c r="K17" i="5"/>
  <c r="K23" i="5" s="1"/>
  <c r="L14" i="6"/>
  <c r="L13" i="3"/>
  <c r="L6" i="5" s="1"/>
  <c r="L15" i="3"/>
  <c r="L17" i="3"/>
  <c r="O5" i="3" l="1"/>
  <c r="N6" i="3"/>
  <c r="N7" i="3" s="1"/>
  <c r="N8" i="3" s="1"/>
  <c r="P4" i="3"/>
  <c r="O10" i="3"/>
  <c r="O11" i="3"/>
  <c r="N12" i="3"/>
  <c r="N13" i="3"/>
  <c r="N6" i="5" s="1"/>
  <c r="N15" i="3"/>
  <c r="M10" i="5"/>
  <c r="M12" i="5" s="1"/>
  <c r="M21" i="5"/>
  <c r="E45" i="7"/>
  <c r="F21" i="7"/>
  <c r="K28" i="5"/>
  <c r="K13" i="6"/>
  <c r="K31" i="6" s="1"/>
  <c r="L21" i="5"/>
  <c r="L10" i="5"/>
  <c r="L12" i="5" s="1"/>
  <c r="L12" i="6"/>
  <c r="L16" i="3"/>
  <c r="L16" i="5"/>
  <c r="L17" i="5" s="1"/>
  <c r="L23" i="5" s="1"/>
  <c r="M16" i="3"/>
  <c r="M16" i="5" s="1"/>
  <c r="M17" i="5" s="1"/>
  <c r="M23" i="5" s="1"/>
  <c r="M12" i="6"/>
  <c r="M14" i="6"/>
  <c r="M17" i="3"/>
  <c r="P5" i="3" l="1"/>
  <c r="O6" i="3"/>
  <c r="O7" i="3" s="1"/>
  <c r="O8" i="3" s="1"/>
  <c r="Q4" i="3"/>
  <c r="P10" i="3"/>
  <c r="P11" i="3"/>
  <c r="O12" i="3"/>
  <c r="O18" i="3"/>
  <c r="O27" i="5" s="1"/>
  <c r="N10" i="5"/>
  <c r="N12" i="5" s="1"/>
  <c r="N21" i="5"/>
  <c r="L13" i="6"/>
  <c r="L31" i="6" s="1"/>
  <c r="L28" i="5"/>
  <c r="M13" i="6"/>
  <c r="M31" i="6" s="1"/>
  <c r="M28" i="5"/>
  <c r="N14" i="6"/>
  <c r="N17" i="3"/>
  <c r="N18" i="3"/>
  <c r="N27" i="5" s="1"/>
  <c r="N16" i="3"/>
  <c r="N16" i="5" s="1"/>
  <c r="N12" i="6"/>
  <c r="Q5" i="3" l="1"/>
  <c r="P6" i="3"/>
  <c r="P7" i="3" s="1"/>
  <c r="P8" i="3" s="1"/>
  <c r="R4" i="3"/>
  <c r="Q10" i="3"/>
  <c r="Q11" i="3"/>
  <c r="P12" i="3"/>
  <c r="N17" i="5"/>
  <c r="N23" i="5" s="1"/>
  <c r="O14" i="6"/>
  <c r="O13" i="3"/>
  <c r="O6" i="5" s="1"/>
  <c r="O15" i="3"/>
  <c r="O17" i="3"/>
  <c r="R5" i="3" l="1"/>
  <c r="Q6" i="3"/>
  <c r="Q7" i="3" s="1"/>
  <c r="Q8" i="3" s="1"/>
  <c r="S4" i="3"/>
  <c r="R10" i="3"/>
  <c r="R11" i="3"/>
  <c r="Q12" i="3"/>
  <c r="Q18" i="3"/>
  <c r="Q27" i="5" s="1"/>
  <c r="N28" i="5"/>
  <c r="N13" i="6"/>
  <c r="N31" i="6" s="1"/>
  <c r="O21" i="5"/>
  <c r="O10" i="5"/>
  <c r="O12" i="5" s="1"/>
  <c r="O12" i="6"/>
  <c r="O16" i="3"/>
  <c r="O16" i="5" s="1"/>
  <c r="O17" i="5" s="1"/>
  <c r="O23" i="5" s="1"/>
  <c r="P14" i="6"/>
  <c r="P13" i="3"/>
  <c r="P6" i="5" s="1"/>
  <c r="P15" i="3"/>
  <c r="P17" i="3"/>
  <c r="P18" i="3"/>
  <c r="P27" i="5" s="1"/>
  <c r="S5" i="3" l="1"/>
  <c r="R6" i="3"/>
  <c r="R7" i="3" s="1"/>
  <c r="R8" i="3" s="1"/>
  <c r="T4" i="3"/>
  <c r="S10" i="3"/>
  <c r="S11" i="3"/>
  <c r="R12" i="3"/>
  <c r="R13" i="3"/>
  <c r="R6" i="5" s="1"/>
  <c r="R15" i="3"/>
  <c r="O13" i="6"/>
  <c r="O31" i="6" s="1"/>
  <c r="O28" i="5"/>
  <c r="P21" i="5"/>
  <c r="P10" i="5"/>
  <c r="P12" i="5" s="1"/>
  <c r="P16" i="3"/>
  <c r="P12" i="6"/>
  <c r="P16" i="5"/>
  <c r="P17" i="5" s="1"/>
  <c r="P23" i="5" s="1"/>
  <c r="Q14" i="6"/>
  <c r="Q13" i="3"/>
  <c r="Q6" i="5" s="1"/>
  <c r="Q15" i="3"/>
  <c r="Q17" i="3"/>
  <c r="T5" i="3" l="1"/>
  <c r="S6" i="3"/>
  <c r="S7" i="3" s="1"/>
  <c r="S8" i="3" s="1"/>
  <c r="U4" i="3"/>
  <c r="T10" i="3"/>
  <c r="T11" i="3"/>
  <c r="S12" i="3"/>
  <c r="S17" i="3"/>
  <c r="S18" i="3"/>
  <c r="S27" i="5" s="1"/>
  <c r="R10" i="5"/>
  <c r="R12" i="5" s="1"/>
  <c r="R21" i="5"/>
  <c r="P13" i="6"/>
  <c r="P31" i="6" s="1"/>
  <c r="P28" i="5"/>
  <c r="Q21" i="5"/>
  <c r="Q10" i="5"/>
  <c r="Q12" i="5" s="1"/>
  <c r="Q12" i="6"/>
  <c r="Q16" i="3"/>
  <c r="Q16" i="5"/>
  <c r="Q17" i="5" s="1"/>
  <c r="Q23" i="5" s="1"/>
  <c r="R14" i="6"/>
  <c r="R17" i="3"/>
  <c r="R18" i="3"/>
  <c r="R27" i="5" s="1"/>
  <c r="R16" i="3"/>
  <c r="R16" i="5" s="1"/>
  <c r="R12" i="6"/>
  <c r="U5" i="3" l="1"/>
  <c r="T6" i="3"/>
  <c r="T7" i="3" s="1"/>
  <c r="T8" i="3" s="1"/>
  <c r="V4" i="3"/>
  <c r="U10" i="3"/>
  <c r="U11" i="3"/>
  <c r="T12" i="3"/>
  <c r="T14" i="6" s="1"/>
  <c r="T13" i="3"/>
  <c r="T6" i="5" s="1"/>
  <c r="T15" i="3"/>
  <c r="T17" i="3"/>
  <c r="T18" i="3"/>
  <c r="T27" i="5" s="1"/>
  <c r="Q13" i="6"/>
  <c r="Q31" i="6" s="1"/>
  <c r="Q28" i="5"/>
  <c r="R17" i="5"/>
  <c r="R23" i="5" s="1"/>
  <c r="S14" i="6"/>
  <c r="S13" i="3"/>
  <c r="S6" i="5" s="1"/>
  <c r="S15" i="3"/>
  <c r="V5" i="3" l="1"/>
  <c r="U6" i="3"/>
  <c r="U7" i="3" s="1"/>
  <c r="U8" i="3" s="1"/>
  <c r="W4" i="3"/>
  <c r="V10" i="3"/>
  <c r="V11" i="3"/>
  <c r="U13" i="3"/>
  <c r="U6" i="5" s="1"/>
  <c r="U15" i="3"/>
  <c r="U12" i="3"/>
  <c r="T10" i="5"/>
  <c r="T12" i="5" s="1"/>
  <c r="T21" i="5"/>
  <c r="R28" i="5"/>
  <c r="R13" i="6"/>
  <c r="R31" i="6" s="1"/>
  <c r="S21" i="5"/>
  <c r="S10" i="5"/>
  <c r="S12" i="5" s="1"/>
  <c r="S12" i="6"/>
  <c r="S16" i="3"/>
  <c r="S16" i="5"/>
  <c r="S17" i="5" s="1"/>
  <c r="S23" i="5" s="1"/>
  <c r="T16" i="3"/>
  <c r="T16" i="5" s="1"/>
  <c r="T12" i="6"/>
  <c r="W5" i="3" l="1"/>
  <c r="V6" i="3"/>
  <c r="V7" i="3" s="1"/>
  <c r="V8" i="3" s="1"/>
  <c r="X4" i="3"/>
  <c r="W10" i="3"/>
  <c r="W11" i="3"/>
  <c r="V12" i="3"/>
  <c r="U10" i="5"/>
  <c r="U12" i="5" s="1"/>
  <c r="U21" i="5"/>
  <c r="S13" i="6"/>
  <c r="S31" i="6" s="1"/>
  <c r="S28" i="5"/>
  <c r="T17" i="5"/>
  <c r="T23" i="5" s="1"/>
  <c r="U16" i="3"/>
  <c r="U16" i="5" s="1"/>
  <c r="U17" i="5" s="1"/>
  <c r="U23" i="5" s="1"/>
  <c r="U12" i="6"/>
  <c r="U14" i="6"/>
  <c r="U17" i="3"/>
  <c r="U18" i="3"/>
  <c r="U27" i="5" s="1"/>
  <c r="X5" i="3" l="1"/>
  <c r="W6" i="3"/>
  <c r="W7" i="3" s="1"/>
  <c r="W8" i="3" s="1"/>
  <c r="Y4" i="3"/>
  <c r="X10" i="3"/>
  <c r="X11" i="3"/>
  <c r="W12" i="3"/>
  <c r="W13" i="3"/>
  <c r="W6" i="5" s="1"/>
  <c r="T28" i="5"/>
  <c r="T13" i="6"/>
  <c r="T31" i="6" s="1"/>
  <c r="U13" i="6"/>
  <c r="U31" i="6" s="1"/>
  <c r="U28" i="5"/>
  <c r="V14" i="6"/>
  <c r="V13" i="3"/>
  <c r="V6" i="5" s="1"/>
  <c r="V15" i="3"/>
  <c r="V17" i="3"/>
  <c r="V18" i="3"/>
  <c r="V27" i="5" s="1"/>
  <c r="Y5" i="3" l="1"/>
  <c r="X6" i="3"/>
  <c r="X7" i="3" s="1"/>
  <c r="X8" i="3" s="1"/>
  <c r="Z4" i="3"/>
  <c r="Y10" i="3"/>
  <c r="Y11" i="3"/>
  <c r="X18" i="3"/>
  <c r="X27" i="5" s="1"/>
  <c r="X12" i="3"/>
  <c r="X14" i="6" s="1"/>
  <c r="X13" i="3"/>
  <c r="X6" i="5" s="1"/>
  <c r="X15" i="3"/>
  <c r="X17" i="3"/>
  <c r="X16" i="3"/>
  <c r="W10" i="5"/>
  <c r="W12" i="5" s="1"/>
  <c r="W21" i="5"/>
  <c r="V21" i="5"/>
  <c r="V10" i="5"/>
  <c r="V12" i="5" s="1"/>
  <c r="V12" i="6"/>
  <c r="V16" i="3"/>
  <c r="V16" i="5"/>
  <c r="V17" i="5" s="1"/>
  <c r="V23" i="5" s="1"/>
  <c r="W14" i="6"/>
  <c r="W15" i="3"/>
  <c r="W18" i="3"/>
  <c r="W27" i="5" s="1"/>
  <c r="W17" i="3"/>
  <c r="Z5" i="3" l="1"/>
  <c r="Y6" i="3"/>
  <c r="Y7" i="3" s="1"/>
  <c r="Y8" i="3" s="1"/>
  <c r="AA4" i="3"/>
  <c r="Z10" i="3"/>
  <c r="Z11" i="3"/>
  <c r="Y12" i="3"/>
  <c r="Y14" i="6" s="1"/>
  <c r="Y13" i="3"/>
  <c r="Y6" i="5" s="1"/>
  <c r="Y15" i="3"/>
  <c r="Y17" i="3"/>
  <c r="Y18" i="3"/>
  <c r="Y27" i="5" s="1"/>
  <c r="Y16" i="3"/>
  <c r="Y12" i="6"/>
  <c r="X10" i="5"/>
  <c r="X12" i="5" s="1"/>
  <c r="X17" i="5" s="1"/>
  <c r="X21" i="5"/>
  <c r="V13" i="6"/>
  <c r="V31" i="6" s="1"/>
  <c r="V28" i="5"/>
  <c r="W12" i="6"/>
  <c r="W16" i="3"/>
  <c r="W16" i="5"/>
  <c r="W17" i="5" s="1"/>
  <c r="W23" i="5" s="1"/>
  <c r="X16" i="5"/>
  <c r="X12" i="6"/>
  <c r="AA5" i="3" l="1"/>
  <c r="Z6" i="3"/>
  <c r="Z7" i="3" s="1"/>
  <c r="Z8" i="3" s="1"/>
  <c r="AB4" i="3"/>
  <c r="AA10" i="3"/>
  <c r="AA11" i="3"/>
  <c r="Z12" i="3"/>
  <c r="Z13" i="3"/>
  <c r="Z6" i="5" s="1"/>
  <c r="Z15" i="3"/>
  <c r="Y10" i="5"/>
  <c r="Y12" i="5" s="1"/>
  <c r="Y21" i="5"/>
  <c r="W13" i="6"/>
  <c r="W31" i="6" s="1"/>
  <c r="W28" i="5"/>
  <c r="Y16" i="5"/>
  <c r="Y17" i="5" s="1"/>
  <c r="Y23" i="5" s="1"/>
  <c r="X23" i="5"/>
  <c r="AB5" i="3" l="1"/>
  <c r="AA6" i="3"/>
  <c r="AA7" i="3" s="1"/>
  <c r="AA8" i="3" s="1"/>
  <c r="AC4" i="3"/>
  <c r="AB10" i="3"/>
  <c r="AB11" i="3"/>
  <c r="AA12" i="3"/>
  <c r="AA14" i="6" s="1"/>
  <c r="AA13" i="3"/>
  <c r="AA6" i="5" s="1"/>
  <c r="AA15" i="3"/>
  <c r="AA17" i="3"/>
  <c r="AA18" i="3"/>
  <c r="AA27" i="5" s="1"/>
  <c r="AA16" i="3"/>
  <c r="AA12" i="6"/>
  <c r="Z10" i="5"/>
  <c r="Z12" i="5" s="1"/>
  <c r="Z21" i="5"/>
  <c r="Y13" i="6"/>
  <c r="Y31" i="6" s="1"/>
  <c r="Y28" i="5"/>
  <c r="X13" i="6"/>
  <c r="X31" i="6" s="1"/>
  <c r="X28" i="5"/>
  <c r="Z14" i="6"/>
  <c r="Z17" i="3"/>
  <c r="Z18" i="3"/>
  <c r="Z27" i="5" s="1"/>
  <c r="Z12" i="6"/>
  <c r="Z16" i="3"/>
  <c r="Z16" i="5" s="1"/>
  <c r="AC5" i="3" l="1"/>
  <c r="AB6" i="3"/>
  <c r="AB7" i="3" s="1"/>
  <c r="AB8" i="3" s="1"/>
  <c r="AD4" i="3"/>
  <c r="AC10" i="3"/>
  <c r="AC11" i="3"/>
  <c r="AB12" i="3"/>
  <c r="AB18" i="3"/>
  <c r="AB27" i="5" s="1"/>
  <c r="AB13" i="3"/>
  <c r="AB6" i="5" s="1"/>
  <c r="AB15" i="3"/>
  <c r="AA10" i="5"/>
  <c r="AA12" i="5" s="1"/>
  <c r="AA21" i="5"/>
  <c r="AA16" i="5"/>
  <c r="AA17" i="5" s="1"/>
  <c r="AA23" i="5" s="1"/>
  <c r="Z17" i="5"/>
  <c r="Z23" i="5" s="1"/>
  <c r="AD5" i="3" l="1"/>
  <c r="AC6" i="3"/>
  <c r="AC7" i="3" s="1"/>
  <c r="AC8" i="3" s="1"/>
  <c r="AE4" i="3"/>
  <c r="AD10" i="3"/>
  <c r="AD11" i="3"/>
  <c r="AC12" i="3"/>
  <c r="AC14" i="6" s="1"/>
  <c r="AC13" i="3"/>
  <c r="AC6" i="5" s="1"/>
  <c r="AC15" i="3"/>
  <c r="AC18" i="3"/>
  <c r="AC27" i="5" s="1"/>
  <c r="AC16" i="3"/>
  <c r="AC17" i="3"/>
  <c r="AC12" i="6"/>
  <c r="AB10" i="5"/>
  <c r="AB12" i="5" s="1"/>
  <c r="AB21" i="5"/>
  <c r="AA13" i="6"/>
  <c r="AA31" i="6" s="1"/>
  <c r="AA28" i="5"/>
  <c r="Z28" i="5"/>
  <c r="Z13" i="6"/>
  <c r="Z31" i="6" s="1"/>
  <c r="AB14" i="6"/>
  <c r="AB17" i="3"/>
  <c r="AB12" i="6"/>
  <c r="AB16" i="3"/>
  <c r="AB16" i="5" s="1"/>
  <c r="AE5" i="3" l="1"/>
  <c r="AD6" i="3"/>
  <c r="AD7" i="3" s="1"/>
  <c r="AD8" i="3" s="1"/>
  <c r="AF4" i="3"/>
  <c r="AE10" i="3"/>
  <c r="AE11" i="3"/>
  <c r="AD12" i="3"/>
  <c r="AC10" i="5"/>
  <c r="AC12" i="5" s="1"/>
  <c r="AC21" i="5"/>
  <c r="AC16" i="5"/>
  <c r="AC17" i="5" s="1"/>
  <c r="AC23" i="5" s="1"/>
  <c r="AB17" i="5"/>
  <c r="AB23" i="5" s="1"/>
  <c r="AF5" i="3" l="1"/>
  <c r="AE6" i="3"/>
  <c r="AE7" i="3" s="1"/>
  <c r="AE8" i="3" s="1"/>
  <c r="AG4" i="3"/>
  <c r="AF10" i="3"/>
  <c r="AF11" i="3"/>
  <c r="AE12" i="3"/>
  <c r="AE18" i="3"/>
  <c r="AE27" i="5" s="1"/>
  <c r="AC13" i="6"/>
  <c r="AC31" i="6" s="1"/>
  <c r="AC28" i="5"/>
  <c r="AB28" i="5"/>
  <c r="AB13" i="6"/>
  <c r="AB31" i="6" s="1"/>
  <c r="AD14" i="6"/>
  <c r="AD13" i="3"/>
  <c r="AD6" i="5" s="1"/>
  <c r="AD15" i="3"/>
  <c r="AD17" i="3"/>
  <c r="AD18" i="3"/>
  <c r="AD27" i="5" s="1"/>
  <c r="AG5" i="3" l="1"/>
  <c r="AF6" i="3"/>
  <c r="AF7" i="3" s="1"/>
  <c r="AF8" i="3" s="1"/>
  <c r="AH4" i="3"/>
  <c r="AG10" i="3"/>
  <c r="AG11" i="3"/>
  <c r="AF12" i="3"/>
  <c r="AF14" i="6" s="1"/>
  <c r="AF13" i="3"/>
  <c r="AF6" i="5" s="1"/>
  <c r="AF15" i="3"/>
  <c r="AF17" i="3"/>
  <c r="AF18" i="3"/>
  <c r="AF27" i="5" s="1"/>
  <c r="AD21" i="5"/>
  <c r="AD10" i="5"/>
  <c r="AD12" i="5" s="1"/>
  <c r="AD12" i="6"/>
  <c r="AD16" i="3"/>
  <c r="AD16" i="5"/>
  <c r="AE14" i="6"/>
  <c r="AE13" i="3"/>
  <c r="AE6" i="5" s="1"/>
  <c r="AE15" i="3"/>
  <c r="AE17" i="3"/>
  <c r="AH5" i="3" l="1"/>
  <c r="AG6" i="3"/>
  <c r="AG7" i="3" s="1"/>
  <c r="AG8" i="3" s="1"/>
  <c r="AI4" i="3"/>
  <c r="AH10" i="3"/>
  <c r="AH11" i="3"/>
  <c r="AG12" i="3"/>
  <c r="AG13" i="3"/>
  <c r="AG6" i="5" s="1"/>
  <c r="AG15" i="3"/>
  <c r="AF10" i="5"/>
  <c r="AF12" i="5" s="1"/>
  <c r="AF21" i="5"/>
  <c r="AE21" i="5"/>
  <c r="AE10" i="5"/>
  <c r="AE12" i="5" s="1"/>
  <c r="AE12" i="6"/>
  <c r="AE16" i="3"/>
  <c r="AE16" i="5"/>
  <c r="AD17" i="5"/>
  <c r="AD23" i="5" s="1"/>
  <c r="AF12" i="6"/>
  <c r="AF16" i="3"/>
  <c r="AF16" i="5" s="1"/>
  <c r="AF17" i="5" s="1"/>
  <c r="AF23" i="5" s="1"/>
  <c r="AI5" i="3" l="1"/>
  <c r="AH6" i="3"/>
  <c r="AH7" i="3" s="1"/>
  <c r="AH8" i="3" s="1"/>
  <c r="AJ4" i="3"/>
  <c r="AI10" i="3"/>
  <c r="AI11" i="3"/>
  <c r="AH12" i="3"/>
  <c r="AH14" i="6" s="1"/>
  <c r="AH13" i="3"/>
  <c r="AH6" i="5" s="1"/>
  <c r="AH15" i="3"/>
  <c r="AH12" i="6" s="1"/>
  <c r="AH16" i="3"/>
  <c r="AH17" i="3"/>
  <c r="AH18" i="3"/>
  <c r="AH27" i="5" s="1"/>
  <c r="AG10" i="5"/>
  <c r="AG12" i="5" s="1"/>
  <c r="AG21" i="5"/>
  <c r="AD28" i="5"/>
  <c r="AD13" i="6"/>
  <c r="AD31" i="6" s="1"/>
  <c r="AF13" i="6"/>
  <c r="AF31" i="6" s="1"/>
  <c r="AF28" i="5"/>
  <c r="AE17" i="5"/>
  <c r="AE23" i="5" s="1"/>
  <c r="AG14" i="6"/>
  <c r="AG17" i="3"/>
  <c r="AG18" i="3"/>
  <c r="AG27" i="5" s="1"/>
  <c r="AG16" i="3"/>
  <c r="AG16" i="5" s="1"/>
  <c r="AG12" i="6"/>
  <c r="AJ5" i="3" l="1"/>
  <c r="AI6" i="3"/>
  <c r="AI7" i="3" s="1"/>
  <c r="AI8" i="3" s="1"/>
  <c r="AK4" i="3"/>
  <c r="AJ10" i="3"/>
  <c r="AJ11" i="3"/>
  <c r="AI12" i="3"/>
  <c r="AI13" i="3"/>
  <c r="AI6" i="5" s="1"/>
  <c r="AI15" i="3"/>
  <c r="AI16" i="3" s="1"/>
  <c r="AI18" i="3"/>
  <c r="AI27" i="5" s="1"/>
  <c r="AI12" i="6"/>
  <c r="AH10" i="5"/>
  <c r="AH12" i="5" s="1"/>
  <c r="AH21" i="5"/>
  <c r="AE28" i="5"/>
  <c r="AE13" i="6"/>
  <c r="AE31" i="6" s="1"/>
  <c r="AG17" i="5"/>
  <c r="AG23" i="5" s="1"/>
  <c r="AH16" i="5"/>
  <c r="AH17" i="5" s="1"/>
  <c r="AH23" i="5" s="1"/>
  <c r="AK5" i="3" l="1"/>
  <c r="AJ6" i="3"/>
  <c r="AJ7" i="3" s="1"/>
  <c r="AJ8" i="3" s="1"/>
  <c r="AL4" i="3"/>
  <c r="AK10" i="3"/>
  <c r="AK11" i="3"/>
  <c r="AJ12" i="3"/>
  <c r="AJ14" i="6" s="1"/>
  <c r="AJ17" i="3"/>
  <c r="AJ18" i="3"/>
  <c r="AJ27" i="5" s="1"/>
  <c r="AJ13" i="3"/>
  <c r="AJ6" i="5" s="1"/>
  <c r="AJ15" i="3"/>
  <c r="AJ12" i="6" s="1"/>
  <c r="AJ16" i="3"/>
  <c r="AI10" i="5"/>
  <c r="AI12" i="5" s="1"/>
  <c r="AI21" i="5"/>
  <c r="AG28" i="5"/>
  <c r="AG13" i="6"/>
  <c r="AG31" i="6" s="1"/>
  <c r="AH13" i="6"/>
  <c r="AH31" i="6" s="1"/>
  <c r="AH28" i="5"/>
  <c r="AI16" i="5"/>
  <c r="AI14" i="6"/>
  <c r="AI17" i="3"/>
  <c r="AL5" i="3" l="1"/>
  <c r="AK6" i="3"/>
  <c r="AK7" i="3" s="1"/>
  <c r="AK8" i="3" s="1"/>
  <c r="AM4" i="3"/>
  <c r="AL10" i="3"/>
  <c r="AL11" i="3"/>
  <c r="AK12" i="3"/>
  <c r="AJ10" i="5"/>
  <c r="AJ12" i="5" s="1"/>
  <c r="AJ21" i="5"/>
  <c r="AJ16" i="5"/>
  <c r="AJ17" i="5" s="1"/>
  <c r="AJ23" i="5" s="1"/>
  <c r="AI17" i="5"/>
  <c r="AI23" i="5" s="1"/>
  <c r="AM5" i="3" l="1"/>
  <c r="AL6" i="3"/>
  <c r="AL7" i="3" s="1"/>
  <c r="AL8" i="3" s="1"/>
  <c r="AN4" i="3"/>
  <c r="AM10" i="3"/>
  <c r="AM11" i="3"/>
  <c r="AL18" i="3"/>
  <c r="AL27" i="5" s="1"/>
  <c r="AL12" i="6"/>
  <c r="AL12" i="3"/>
  <c r="AL14" i="6" s="1"/>
  <c r="AL13" i="3"/>
  <c r="AL6" i="5" s="1"/>
  <c r="AL15" i="3"/>
  <c r="AL16" i="3"/>
  <c r="AL17" i="3"/>
  <c r="AJ13" i="6"/>
  <c r="AJ31" i="6" s="1"/>
  <c r="AJ28" i="5"/>
  <c r="AI28" i="5"/>
  <c r="AI13" i="6"/>
  <c r="AI31" i="6" s="1"/>
  <c r="AK14" i="6"/>
  <c r="AK13" i="3"/>
  <c r="AK6" i="5" s="1"/>
  <c r="AK15" i="3"/>
  <c r="AK17" i="3"/>
  <c r="AK18" i="3"/>
  <c r="AK27" i="5" s="1"/>
  <c r="AN5" i="3" l="1"/>
  <c r="AM6" i="3"/>
  <c r="AM7" i="3" s="1"/>
  <c r="AM8" i="3" s="1"/>
  <c r="AO4" i="3"/>
  <c r="AN10" i="3"/>
  <c r="AN11" i="3"/>
  <c r="AM13" i="3"/>
  <c r="AM6" i="5" s="1"/>
  <c r="AM12" i="3"/>
  <c r="AL10" i="5"/>
  <c r="AL12" i="5" s="1"/>
  <c r="AL21" i="5"/>
  <c r="AK21" i="5"/>
  <c r="AK10" i="5"/>
  <c r="AK12" i="5" s="1"/>
  <c r="AK12" i="6"/>
  <c r="AK16" i="3"/>
  <c r="AK16" i="5"/>
  <c r="AK17" i="5" s="1"/>
  <c r="AK23" i="5" s="1"/>
  <c r="AL16" i="5"/>
  <c r="AL17" i="5" s="1"/>
  <c r="AL23" i="5" s="1"/>
  <c r="AO5" i="3" l="1"/>
  <c r="AN6" i="3"/>
  <c r="AN7" i="3" s="1"/>
  <c r="AN8" i="3" s="1"/>
  <c r="AP4" i="3"/>
  <c r="AO10" i="3"/>
  <c r="AO11" i="3"/>
  <c r="AN12" i="3"/>
  <c r="AN13" i="3"/>
  <c r="AN6" i="5" s="1"/>
  <c r="AN15" i="3"/>
  <c r="AN17" i="3"/>
  <c r="AM10" i="5"/>
  <c r="AM12" i="5" s="1"/>
  <c r="AM21" i="5"/>
  <c r="AK13" i="6"/>
  <c r="AK31" i="6" s="1"/>
  <c r="AK28" i="5"/>
  <c r="AL13" i="6"/>
  <c r="AL31" i="6" s="1"/>
  <c r="AL28" i="5"/>
  <c r="AM14" i="6"/>
  <c r="AM15" i="3"/>
  <c r="AM18" i="3"/>
  <c r="AM27" i="5" s="1"/>
  <c r="AM17" i="3"/>
  <c r="AP5" i="3" l="1"/>
  <c r="AO6" i="3"/>
  <c r="AO7" i="3" s="1"/>
  <c r="AO8" i="3" s="1"/>
  <c r="AQ4" i="3"/>
  <c r="AP10" i="3"/>
  <c r="AP11" i="3"/>
  <c r="AO12" i="3"/>
  <c r="AO17" i="3"/>
  <c r="AO18" i="3"/>
  <c r="AO27" i="5" s="1"/>
  <c r="AO13" i="3"/>
  <c r="AO6" i="5" s="1"/>
  <c r="AN10" i="5"/>
  <c r="AN12" i="5" s="1"/>
  <c r="AN21" i="5"/>
  <c r="AM12" i="6"/>
  <c r="AM16" i="3"/>
  <c r="AM16" i="5"/>
  <c r="AM17" i="5" s="1"/>
  <c r="AM23" i="5" s="1"/>
  <c r="AN14" i="6"/>
  <c r="AN18" i="3"/>
  <c r="AN27" i="5" s="1"/>
  <c r="AN16" i="3"/>
  <c r="AN16" i="5" s="1"/>
  <c r="AN12" i="6"/>
  <c r="AQ5" i="3" l="1"/>
  <c r="AP6" i="3"/>
  <c r="AP7" i="3" s="1"/>
  <c r="AP8" i="3" s="1"/>
  <c r="AR4" i="3"/>
  <c r="AQ10" i="3"/>
  <c r="AQ11" i="3"/>
  <c r="AP12" i="3"/>
  <c r="AP13" i="3"/>
  <c r="AP6" i="5" s="1"/>
  <c r="AP15" i="3"/>
  <c r="AP18" i="3"/>
  <c r="AP27" i="5" s="1"/>
  <c r="AO10" i="5"/>
  <c r="AO12" i="5" s="1"/>
  <c r="AO21" i="5"/>
  <c r="AM13" i="6"/>
  <c r="AM31" i="6" s="1"/>
  <c r="AM28" i="5"/>
  <c r="AN17" i="5"/>
  <c r="AN23" i="5" s="1"/>
  <c r="AO14" i="6"/>
  <c r="AO15" i="3"/>
  <c r="AR5" i="3" l="1"/>
  <c r="AQ6" i="3"/>
  <c r="AQ7" i="3" s="1"/>
  <c r="AQ8" i="3" s="1"/>
  <c r="AS4" i="3"/>
  <c r="AR10" i="3"/>
  <c r="AR11" i="3"/>
  <c r="AQ12" i="3"/>
  <c r="AQ13" i="3"/>
  <c r="AQ6" i="5" s="1"/>
  <c r="AQ15" i="3"/>
  <c r="AQ16" i="3"/>
  <c r="AQ17" i="3"/>
  <c r="AP10" i="5"/>
  <c r="AP12" i="5" s="1"/>
  <c r="AP21" i="5"/>
  <c r="AN28" i="5"/>
  <c r="AN13" i="6"/>
  <c r="AN31" i="6" s="1"/>
  <c r="AO12" i="6"/>
  <c r="AO16" i="3"/>
  <c r="AO16" i="5"/>
  <c r="AO17" i="5" s="1"/>
  <c r="AO23" i="5" s="1"/>
  <c r="AP14" i="6"/>
  <c r="AP17" i="3"/>
  <c r="AP16" i="3"/>
  <c r="AP16" i="5" s="1"/>
  <c r="AP12" i="6"/>
  <c r="AS5" i="3" l="1"/>
  <c r="AR6" i="3"/>
  <c r="AR7" i="3" s="1"/>
  <c r="AR8" i="3" s="1"/>
  <c r="AT4" i="3"/>
  <c r="AS11" i="3"/>
  <c r="AS10" i="3"/>
  <c r="AR12" i="3"/>
  <c r="AR17" i="3"/>
  <c r="AQ10" i="5"/>
  <c r="AQ12" i="5" s="1"/>
  <c r="AQ17" i="5" s="1"/>
  <c r="AQ21" i="5"/>
  <c r="AO13" i="6"/>
  <c r="AO31" i="6" s="1"/>
  <c r="AO28" i="5"/>
  <c r="AP17" i="5"/>
  <c r="AP23" i="5" s="1"/>
  <c r="AQ14" i="6"/>
  <c r="AQ18" i="3"/>
  <c r="AQ27" i="5" s="1"/>
  <c r="AQ16" i="5"/>
  <c r="AQ12" i="6"/>
  <c r="AT5" i="3" l="1"/>
  <c r="AS6" i="3"/>
  <c r="AS7" i="3" s="1"/>
  <c r="AS8" i="3" s="1"/>
  <c r="AU4" i="3"/>
  <c r="AT11" i="3"/>
  <c r="AT10" i="3"/>
  <c r="AS12" i="3"/>
  <c r="AS14" i="6" s="1"/>
  <c r="AS18" i="3"/>
  <c r="AS27" i="5" s="1"/>
  <c r="AS13" i="3"/>
  <c r="AS6" i="5" s="1"/>
  <c r="AS15" i="3"/>
  <c r="AS17" i="3"/>
  <c r="AP28" i="5"/>
  <c r="AP13" i="6"/>
  <c r="AP31" i="6" s="1"/>
  <c r="AQ23" i="5"/>
  <c r="AR14" i="6"/>
  <c r="AR18" i="3"/>
  <c r="AR27" i="5" s="1"/>
  <c r="AR13" i="3"/>
  <c r="AR6" i="5" s="1"/>
  <c r="AR15" i="3"/>
  <c r="AU5" i="3" l="1"/>
  <c r="AT6" i="3"/>
  <c r="AT7" i="3" s="1"/>
  <c r="AT8" i="3" s="1"/>
  <c r="AV4" i="3"/>
  <c r="AU11" i="3"/>
  <c r="AU10" i="3"/>
  <c r="AT12" i="3"/>
  <c r="AT13" i="3"/>
  <c r="AT6" i="5" s="1"/>
  <c r="AT15" i="3"/>
  <c r="AS10" i="5"/>
  <c r="AS12" i="5" s="1"/>
  <c r="AS21" i="5"/>
  <c r="AQ13" i="6"/>
  <c r="AQ31" i="6" s="1"/>
  <c r="AQ28" i="5"/>
  <c r="AR21" i="5"/>
  <c r="AR10" i="5"/>
  <c r="AR12" i="5" s="1"/>
  <c r="AR12" i="6"/>
  <c r="AR16" i="3"/>
  <c r="AR16" i="5"/>
  <c r="AS16" i="3"/>
  <c r="AS16" i="5" s="1"/>
  <c r="AS12" i="6"/>
  <c r="AV5" i="3" l="1"/>
  <c r="AU6" i="3"/>
  <c r="AU7" i="3" s="1"/>
  <c r="AU8" i="3" s="1"/>
  <c r="AW4" i="3"/>
  <c r="AV11" i="3"/>
  <c r="AV10" i="3"/>
  <c r="AU12" i="3"/>
  <c r="AT10" i="5"/>
  <c r="AT12" i="5" s="1"/>
  <c r="AT21" i="5"/>
  <c r="AR17" i="5"/>
  <c r="AR23" i="5" s="1"/>
  <c r="AS17" i="5"/>
  <c r="AS23" i="5" s="1"/>
  <c r="AT14" i="6"/>
  <c r="AT18" i="3"/>
  <c r="AT27" i="5" s="1"/>
  <c r="AT17" i="3"/>
  <c r="AT16" i="3"/>
  <c r="AT16" i="5" s="1"/>
  <c r="AT17" i="5" s="1"/>
  <c r="AT23" i="5" s="1"/>
  <c r="AT12" i="6"/>
  <c r="AW5" i="3" l="1"/>
  <c r="AV6" i="3"/>
  <c r="AV7" i="3" s="1"/>
  <c r="AV8" i="3" s="1"/>
  <c r="AX4" i="3"/>
  <c r="AW11" i="3"/>
  <c r="AW10" i="3"/>
  <c r="AV12" i="3"/>
  <c r="AR28" i="5"/>
  <c r="AR13" i="6"/>
  <c r="AR31" i="6" s="1"/>
  <c r="AS28" i="5"/>
  <c r="AS13" i="6"/>
  <c r="AS31" i="6" s="1"/>
  <c r="AT13" i="6"/>
  <c r="AT31" i="6" s="1"/>
  <c r="AT28" i="5"/>
  <c r="AU14" i="6"/>
  <c r="AU13" i="3"/>
  <c r="AU6" i="5" s="1"/>
  <c r="AU15" i="3"/>
  <c r="AU18" i="3"/>
  <c r="AU27" i="5" s="1"/>
  <c r="AU17" i="3"/>
  <c r="AX5" i="3" l="1"/>
  <c r="AW6" i="3"/>
  <c r="AW7" i="3" s="1"/>
  <c r="AW8" i="3" s="1"/>
  <c r="AY4" i="3"/>
  <c r="AX11" i="3"/>
  <c r="AX10" i="3"/>
  <c r="AW12" i="3"/>
  <c r="AW13" i="3"/>
  <c r="AW6" i="5" s="1"/>
  <c r="AU21" i="5"/>
  <c r="AU10" i="5"/>
  <c r="AU12" i="5" s="1"/>
  <c r="AU12" i="6"/>
  <c r="AU16" i="3"/>
  <c r="AU16" i="5"/>
  <c r="AU17" i="5" s="1"/>
  <c r="AU23" i="5" s="1"/>
  <c r="AV14" i="6"/>
  <c r="AV18" i="3"/>
  <c r="AV27" i="5" s="1"/>
  <c r="AV13" i="3"/>
  <c r="AV6" i="5" s="1"/>
  <c r="AV17" i="3"/>
  <c r="AV15" i="3"/>
  <c r="AY5" i="3" l="1"/>
  <c r="AX6" i="3"/>
  <c r="AX7" i="3" s="1"/>
  <c r="AX8" i="3" s="1"/>
  <c r="AZ4" i="3"/>
  <c r="AY11" i="3"/>
  <c r="AY10" i="3"/>
  <c r="AX12" i="3"/>
  <c r="AX13" i="3"/>
  <c r="AX6" i="5" s="1"/>
  <c r="AX15" i="3"/>
  <c r="AX12" i="6" s="1"/>
  <c r="AX16" i="3"/>
  <c r="AX17" i="3"/>
  <c r="AW10" i="5"/>
  <c r="AW12" i="5" s="1"/>
  <c r="AW21" i="5"/>
  <c r="AU13" i="6"/>
  <c r="AU31" i="6" s="1"/>
  <c r="AU28" i="5"/>
  <c r="AV21" i="5"/>
  <c r="AV10" i="5"/>
  <c r="AV12" i="5" s="1"/>
  <c r="AV16" i="3"/>
  <c r="AV16" i="5" s="1"/>
  <c r="AV17" i="5" s="1"/>
  <c r="AV23" i="5" s="1"/>
  <c r="AV12" i="6"/>
  <c r="AW14" i="6"/>
  <c r="AW15" i="3"/>
  <c r="AW18" i="3"/>
  <c r="AW27" i="5" s="1"/>
  <c r="AW17" i="3"/>
  <c r="AZ5" i="3" l="1"/>
  <c r="AY6" i="3"/>
  <c r="AY7" i="3" s="1"/>
  <c r="AY8" i="3" s="1"/>
  <c r="BA4" i="3"/>
  <c r="AZ11" i="3"/>
  <c r="AZ10" i="3"/>
  <c r="AY12" i="3"/>
  <c r="AY14" i="6" s="1"/>
  <c r="AY17" i="3"/>
  <c r="AY18" i="3"/>
  <c r="AY27" i="5" s="1"/>
  <c r="AY13" i="3"/>
  <c r="AY6" i="5" s="1"/>
  <c r="AY15" i="3"/>
  <c r="AX10" i="5"/>
  <c r="AX12" i="5" s="1"/>
  <c r="AX21" i="5"/>
  <c r="AV13" i="6"/>
  <c r="AV31" i="6" s="1"/>
  <c r="AV28" i="5"/>
  <c r="AW16" i="3"/>
  <c r="AW16" i="5" s="1"/>
  <c r="AW17" i="5" s="1"/>
  <c r="AW23" i="5" s="1"/>
  <c r="AW12" i="6"/>
  <c r="AX16" i="5"/>
  <c r="AX14" i="6"/>
  <c r="AX18" i="3"/>
  <c r="AX27" i="5" s="1"/>
  <c r="BA5" i="3" l="1"/>
  <c r="AZ6" i="3"/>
  <c r="AZ7" i="3" s="1"/>
  <c r="AZ8" i="3" s="1"/>
  <c r="BB4" i="3"/>
  <c r="BA11" i="3"/>
  <c r="BA10" i="3"/>
  <c r="AZ12" i="3"/>
  <c r="AZ14" i="6" s="1"/>
  <c r="AZ13" i="3"/>
  <c r="AZ6" i="5" s="1"/>
  <c r="AZ15" i="3"/>
  <c r="AZ12" i="6" s="1"/>
  <c r="AZ16" i="3"/>
  <c r="AZ17" i="3"/>
  <c r="AZ18" i="3"/>
  <c r="AZ27" i="5" s="1"/>
  <c r="AY10" i="5"/>
  <c r="AY12" i="5" s="1"/>
  <c r="AY21" i="5"/>
  <c r="AW13" i="6"/>
  <c r="AW31" i="6" s="1"/>
  <c r="AW28" i="5"/>
  <c r="AX17" i="5"/>
  <c r="AX23" i="5" s="1"/>
  <c r="AY16" i="3"/>
  <c r="AY16" i="5" s="1"/>
  <c r="AY12" i="6"/>
  <c r="BB5" i="3" l="1"/>
  <c r="BA6" i="3"/>
  <c r="BA7" i="3" s="1"/>
  <c r="BA8" i="3" s="1"/>
  <c r="BC4" i="3"/>
  <c r="BB11" i="3"/>
  <c r="BB10" i="3"/>
  <c r="BA13" i="3"/>
  <c r="BA6" i="5" s="1"/>
  <c r="BA12" i="3"/>
  <c r="AZ10" i="5"/>
  <c r="AZ12" i="5" s="1"/>
  <c r="AZ21" i="5"/>
  <c r="AX28" i="5"/>
  <c r="AX13" i="6"/>
  <c r="AX31" i="6" s="1"/>
  <c r="AY17" i="5"/>
  <c r="AY23" i="5" s="1"/>
  <c r="AZ16" i="5"/>
  <c r="BC5" i="3" l="1"/>
  <c r="BB6" i="3"/>
  <c r="BB7" i="3" s="1"/>
  <c r="BB8" i="3" s="1"/>
  <c r="BD4" i="3"/>
  <c r="BC11" i="3"/>
  <c r="BC10" i="3"/>
  <c r="BB12" i="3"/>
  <c r="BA10" i="5"/>
  <c r="BA12" i="5" s="1"/>
  <c r="BA21" i="5"/>
  <c r="AY28" i="5"/>
  <c r="AY13" i="6"/>
  <c r="AY31" i="6" s="1"/>
  <c r="AZ17" i="5"/>
  <c r="AZ23" i="5" s="1"/>
  <c r="BA14" i="6"/>
  <c r="BA15" i="3"/>
  <c r="BA17" i="3"/>
  <c r="BA18" i="3"/>
  <c r="BA27" i="5" s="1"/>
  <c r="BD5" i="3" l="1"/>
  <c r="BD6" i="3" s="1"/>
  <c r="BD7" i="3" s="1"/>
  <c r="BD8" i="3" s="1"/>
  <c r="BC6" i="3"/>
  <c r="BC7" i="3" s="1"/>
  <c r="BC8" i="3" s="1"/>
  <c r="BD11" i="3"/>
  <c r="BD10" i="3"/>
  <c r="C16" i="9" s="1"/>
  <c r="BC12" i="3"/>
  <c r="BC17" i="3"/>
  <c r="AZ28" i="5"/>
  <c r="AZ13" i="6"/>
  <c r="AZ31" i="6" s="1"/>
  <c r="BA12" i="6"/>
  <c r="BA16" i="3"/>
  <c r="BA16" i="5"/>
  <c r="BA17" i="5" s="1"/>
  <c r="BA23" i="5" s="1"/>
  <c r="BB14" i="6"/>
  <c r="BB13" i="3"/>
  <c r="BB6" i="5" s="1"/>
  <c r="BB15" i="3"/>
  <c r="BB17" i="3"/>
  <c r="BB18" i="3"/>
  <c r="BB27" i="5" s="1"/>
  <c r="C17" i="9" l="1"/>
  <c r="BD12" i="3"/>
  <c r="BD13" i="3"/>
  <c r="BD6" i="5" s="1"/>
  <c r="BD15" i="3"/>
  <c r="BA13" i="6"/>
  <c r="BA31" i="6" s="1"/>
  <c r="BA28" i="5"/>
  <c r="BB21" i="5"/>
  <c r="BB10" i="5"/>
  <c r="BB12" i="5" s="1"/>
  <c r="BB12" i="6"/>
  <c r="BB16" i="3"/>
  <c r="BB16" i="5"/>
  <c r="BC14" i="6"/>
  <c r="BC15" i="3"/>
  <c r="BC18" i="3"/>
  <c r="BC27" i="5" s="1"/>
  <c r="BC13" i="3"/>
  <c r="BC6" i="5" s="1"/>
  <c r="BD10" i="5" l="1"/>
  <c r="BD12" i="5" s="1"/>
  <c r="BD21" i="5"/>
  <c r="BC12" i="6"/>
  <c r="BC16" i="3"/>
  <c r="C18" i="9" s="1"/>
  <c r="BC16" i="5"/>
  <c r="BC17" i="5" s="1"/>
  <c r="BC21" i="5"/>
  <c r="BC10" i="5"/>
  <c r="BC12" i="5" s="1"/>
  <c r="BB17" i="5"/>
  <c r="BB23" i="5" s="1"/>
  <c r="BD14" i="6"/>
  <c r="BD18" i="3"/>
  <c r="BD17" i="3"/>
  <c r="BD12" i="6"/>
  <c r="BD16" i="3"/>
  <c r="BD16" i="5" s="1"/>
  <c r="BD17" i="5" s="1"/>
  <c r="BD23" i="5" s="1"/>
  <c r="BD13" i="6" l="1"/>
  <c r="BD31" i="6" s="1"/>
  <c r="BB28" i="5"/>
  <c r="BB13" i="6"/>
  <c r="BD27" i="5"/>
  <c r="C20" i="9"/>
  <c r="C19" i="9"/>
  <c r="BC23" i="5"/>
  <c r="BC28" i="5" l="1"/>
  <c r="BC13" i="6"/>
  <c r="BC31" i="6" s="1"/>
  <c r="BB31" i="6"/>
  <c r="C16" i="6"/>
  <c r="C21" i="9"/>
  <c r="BD28" i="5"/>
  <c r="C23" i="6" l="1"/>
  <c r="F18" i="1" s="1"/>
  <c r="C22" i="6"/>
  <c r="F34" i="6" l="1"/>
  <c r="F16" i="1"/>
  <c r="C41" i="4"/>
  <c r="G28" i="6" l="1"/>
  <c r="C10" i="9"/>
  <c r="C44" i="4"/>
  <c r="G30" i="6" l="1"/>
  <c r="C46" i="4"/>
  <c r="C9" i="9"/>
  <c r="G32" i="6" l="1"/>
  <c r="G36" i="6" s="1"/>
  <c r="F43" i="6" s="1"/>
  <c r="G10" i="7"/>
  <c r="G29" i="5"/>
  <c r="G30" i="5" s="1"/>
  <c r="G34" i="6" l="1"/>
  <c r="G11" i="7"/>
  <c r="F45" i="6"/>
  <c r="F14" i="7" s="1"/>
  <c r="F15" i="7" s="1"/>
  <c r="F46" i="6"/>
  <c r="G44" i="6" s="1"/>
  <c r="G31" i="5"/>
  <c r="H28" i="6" l="1"/>
  <c r="F22" i="7"/>
  <c r="F23" i="7" s="1"/>
  <c r="F24" i="7" s="1"/>
  <c r="F16" i="7"/>
  <c r="G33" i="5"/>
  <c r="G32" i="5"/>
  <c r="H30" i="6" l="1"/>
  <c r="F38" i="7"/>
  <c r="G30" i="7"/>
  <c r="G31" i="7" s="1"/>
  <c r="G34" i="5"/>
  <c r="H32" i="6" l="1"/>
  <c r="H36" i="6" s="1"/>
  <c r="G43" i="6" s="1"/>
  <c r="H10" i="7"/>
  <c r="H29" i="5"/>
  <c r="H30" i="5" s="1"/>
  <c r="F45" i="7"/>
  <c r="G37" i="5"/>
  <c r="G35" i="5"/>
  <c r="H34" i="6" l="1"/>
  <c r="H11" i="7"/>
  <c r="G45" i="6"/>
  <c r="G14" i="7" s="1"/>
  <c r="G46" i="6"/>
  <c r="H44" i="6" s="1"/>
  <c r="H31" i="5"/>
  <c r="G38" i="6"/>
  <c r="G9" i="7"/>
  <c r="G13" i="7" s="1"/>
  <c r="I28" i="6" l="1"/>
  <c r="G21" i="7"/>
  <c r="G15" i="7"/>
  <c r="H33" i="5"/>
  <c r="H32" i="5"/>
  <c r="I30" i="6" l="1"/>
  <c r="G23" i="7"/>
  <c r="G24" i="7" s="1"/>
  <c r="G22" i="7"/>
  <c r="G16" i="7"/>
  <c r="H30" i="7"/>
  <c r="H31" i="7" s="1"/>
  <c r="H34" i="5"/>
  <c r="I32" i="6" l="1"/>
  <c r="I36" i="6"/>
  <c r="H43" i="6" s="1"/>
  <c r="I10" i="7"/>
  <c r="I29" i="5"/>
  <c r="I30" i="5" s="1"/>
  <c r="G38" i="7"/>
  <c r="H37" i="5"/>
  <c r="H35" i="5"/>
  <c r="I34" i="6" l="1"/>
  <c r="I11" i="7"/>
  <c r="H45" i="6"/>
  <c r="H14" i="7" s="1"/>
  <c r="H46" i="6"/>
  <c r="I44" i="6" s="1"/>
  <c r="I31" i="5"/>
  <c r="G45" i="7"/>
  <c r="H38" i="6"/>
  <c r="H9" i="7"/>
  <c r="H13" i="7" s="1"/>
  <c r="H15" i="7" s="1"/>
  <c r="J28" i="6" l="1"/>
  <c r="H21" i="7"/>
  <c r="H22" i="7" s="1"/>
  <c r="H23" i="7" s="1"/>
  <c r="H24" i="7" s="1"/>
  <c r="H16" i="7"/>
  <c r="I33" i="5"/>
  <c r="I32" i="5"/>
  <c r="J30" i="6" l="1"/>
  <c r="H38" i="7"/>
  <c r="I30" i="7"/>
  <c r="I31" i="7" s="1"/>
  <c r="I34" i="5"/>
  <c r="J32" i="6" l="1"/>
  <c r="J36" i="6"/>
  <c r="I43" i="6" s="1"/>
  <c r="J10" i="7"/>
  <c r="J29" i="5"/>
  <c r="J30" i="5" s="1"/>
  <c r="H45" i="7"/>
  <c r="I37" i="5"/>
  <c r="I35" i="5"/>
  <c r="J34" i="6" l="1"/>
  <c r="K28" i="6" s="1"/>
  <c r="J11" i="7"/>
  <c r="I45" i="6"/>
  <c r="I14" i="7" s="1"/>
  <c r="I46" i="6"/>
  <c r="J44" i="6" s="1"/>
  <c r="J32" i="5"/>
  <c r="J31" i="5"/>
  <c r="J33" i="5" s="1"/>
  <c r="I38" i="6"/>
  <c r="I21" i="7" s="1"/>
  <c r="I9" i="7"/>
  <c r="I13" i="7" s="1"/>
  <c r="K30" i="6" l="1"/>
  <c r="J34" i="5"/>
  <c r="J37" i="5" s="1"/>
  <c r="J35" i="5"/>
  <c r="J30" i="7"/>
  <c r="J31" i="7" s="1"/>
  <c r="I15" i="7"/>
  <c r="K32" i="6" l="1"/>
  <c r="K36" i="6"/>
  <c r="J43" i="6" s="1"/>
  <c r="K10" i="7"/>
  <c r="K29" i="5"/>
  <c r="K30" i="5" s="1"/>
  <c r="J9" i="7"/>
  <c r="J13" i="7" s="1"/>
  <c r="J38" i="6"/>
  <c r="J21" i="7" s="1"/>
  <c r="I23" i="7"/>
  <c r="I24" i="7" s="1"/>
  <c r="I22" i="7"/>
  <c r="I38" i="7" s="1"/>
  <c r="I45" i="7" s="1"/>
  <c r="I16" i="7"/>
  <c r="K34" i="6" l="1"/>
  <c r="L28" i="6" s="1"/>
  <c r="K11" i="7"/>
  <c r="J45" i="6"/>
  <c r="J14" i="7" s="1"/>
  <c r="J15" i="7" s="1"/>
  <c r="J16" i="7" s="1"/>
  <c r="J46" i="6"/>
  <c r="K44" i="6" s="1"/>
  <c r="K31" i="5"/>
  <c r="J22" i="7"/>
  <c r="J38" i="7" s="1"/>
  <c r="J45" i="7" s="1"/>
  <c r="J23" i="7"/>
  <c r="J24" i="7" s="1"/>
  <c r="L30" i="6" l="1"/>
  <c r="K33" i="5"/>
  <c r="K32" i="5"/>
  <c r="L32" i="6" l="1"/>
  <c r="L36" i="6"/>
  <c r="K43" i="6" s="1"/>
  <c r="L10" i="7"/>
  <c r="L29" i="5"/>
  <c r="L30" i="5" s="1"/>
  <c r="K30" i="7"/>
  <c r="K31" i="7" s="1"/>
  <c r="K34" i="5"/>
  <c r="L34" i="6" l="1"/>
  <c r="M28" i="6" s="1"/>
  <c r="L11" i="7"/>
  <c r="K45" i="6"/>
  <c r="K14" i="7" s="1"/>
  <c r="K46" i="6"/>
  <c r="L44" i="6" s="1"/>
  <c r="L31" i="5"/>
  <c r="K37" i="5"/>
  <c r="K35" i="5"/>
  <c r="M30" i="6" l="1"/>
  <c r="K38" i="6"/>
  <c r="K21" i="7" s="1"/>
  <c r="K9" i="7"/>
  <c r="K13" i="7" s="1"/>
  <c r="K15" i="7" s="1"/>
  <c r="L33" i="5"/>
  <c r="L32" i="5"/>
  <c r="M32" i="6" l="1"/>
  <c r="M36" i="6"/>
  <c r="L43" i="6" s="1"/>
  <c r="M10" i="7"/>
  <c r="M29" i="5"/>
  <c r="M30" i="5" s="1"/>
  <c r="K16" i="7"/>
  <c r="K22" i="7"/>
  <c r="K38" i="7" s="1"/>
  <c r="K45" i="7" s="1"/>
  <c r="K23" i="7"/>
  <c r="K24" i="7" s="1"/>
  <c r="L30" i="7"/>
  <c r="L31" i="7" s="1"/>
  <c r="L34" i="5"/>
  <c r="M34" i="6" l="1"/>
  <c r="N28" i="6" s="1"/>
  <c r="M11" i="7"/>
  <c r="L45" i="6"/>
  <c r="L14" i="7" s="1"/>
  <c r="L46" i="6"/>
  <c r="M44" i="6" s="1"/>
  <c r="M31" i="5"/>
  <c r="L37" i="5"/>
  <c r="L35" i="5"/>
  <c r="N30" i="6" l="1"/>
  <c r="L38" i="6"/>
  <c r="L21" i="7" s="1"/>
  <c r="L9" i="7"/>
  <c r="L13" i="7" s="1"/>
  <c r="L15" i="7" s="1"/>
  <c r="M33" i="5"/>
  <c r="M32" i="5"/>
  <c r="N32" i="6" l="1"/>
  <c r="N36" i="6" s="1"/>
  <c r="M43" i="6" s="1"/>
  <c r="N10" i="7"/>
  <c r="N29" i="5"/>
  <c r="N30" i="5" s="1"/>
  <c r="L16" i="7"/>
  <c r="L22" i="7"/>
  <c r="L38" i="7" s="1"/>
  <c r="L45" i="7" s="1"/>
  <c r="L23" i="7"/>
  <c r="L24" i="7" s="1"/>
  <c r="M30" i="7"/>
  <c r="M31" i="7" s="1"/>
  <c r="M34" i="5"/>
  <c r="N34" i="6" l="1"/>
  <c r="O28" i="6" s="1"/>
  <c r="N11" i="7"/>
  <c r="M45" i="6"/>
  <c r="M14" i="7" s="1"/>
  <c r="M46" i="6"/>
  <c r="N44" i="6" s="1"/>
  <c r="N31" i="5"/>
  <c r="M37" i="5"/>
  <c r="M35" i="5"/>
  <c r="O30" i="6" l="1"/>
  <c r="M38" i="6"/>
  <c r="M21" i="7" s="1"/>
  <c r="M9" i="7"/>
  <c r="M13" i="7" s="1"/>
  <c r="M15" i="7" s="1"/>
  <c r="N33" i="5"/>
  <c r="N32" i="5"/>
  <c r="O32" i="6" l="1"/>
  <c r="O36" i="6" s="1"/>
  <c r="N43" i="6" s="1"/>
  <c r="O10" i="7"/>
  <c r="O29" i="5"/>
  <c r="O30" i="5" s="1"/>
  <c r="M16" i="7"/>
  <c r="M22" i="7"/>
  <c r="M38" i="7" s="1"/>
  <c r="M45" i="7" s="1"/>
  <c r="M23" i="7"/>
  <c r="M24" i="7" s="1"/>
  <c r="N30" i="7"/>
  <c r="N31" i="7" s="1"/>
  <c r="N34" i="5"/>
  <c r="O34" i="6" l="1"/>
  <c r="P28" i="6" s="1"/>
  <c r="O11" i="7"/>
  <c r="N45" i="6"/>
  <c r="N14" i="7" s="1"/>
  <c r="N46" i="6"/>
  <c r="O44" i="6" s="1"/>
  <c r="O31" i="5"/>
  <c r="N37" i="5"/>
  <c r="N35" i="5"/>
  <c r="P30" i="6" l="1"/>
  <c r="N38" i="6"/>
  <c r="N21" i="7" s="1"/>
  <c r="N9" i="7"/>
  <c r="N13" i="7" s="1"/>
  <c r="N15" i="7" s="1"/>
  <c r="O33" i="5"/>
  <c r="O32" i="5"/>
  <c r="P32" i="6" l="1"/>
  <c r="P36" i="6"/>
  <c r="O43" i="6" s="1"/>
  <c r="P10" i="7"/>
  <c r="P29" i="5"/>
  <c r="P30" i="5" s="1"/>
  <c r="N16" i="7"/>
  <c r="N22" i="7"/>
  <c r="N38" i="7" s="1"/>
  <c r="N45" i="7" s="1"/>
  <c r="N23" i="7"/>
  <c r="N24" i="7" s="1"/>
  <c r="O30" i="7"/>
  <c r="O31" i="7" s="1"/>
  <c r="O34" i="5"/>
  <c r="P34" i="6" l="1"/>
  <c r="Q28" i="6" s="1"/>
  <c r="P11" i="7"/>
  <c r="O45" i="6"/>
  <c r="O14" i="7" s="1"/>
  <c r="O46" i="6"/>
  <c r="P44" i="6" s="1"/>
  <c r="P31" i="5"/>
  <c r="O37" i="5"/>
  <c r="O35" i="5"/>
  <c r="Q30" i="6" l="1"/>
  <c r="O38" i="6"/>
  <c r="O21" i="7" s="1"/>
  <c r="O9" i="7"/>
  <c r="O13" i="7" s="1"/>
  <c r="O15" i="7" s="1"/>
  <c r="P33" i="5"/>
  <c r="P32" i="5"/>
  <c r="Q32" i="6" l="1"/>
  <c r="Q36" i="6"/>
  <c r="P43" i="6" s="1"/>
  <c r="Q10" i="7"/>
  <c r="Q29" i="5"/>
  <c r="Q30" i="5" s="1"/>
  <c r="O16" i="7"/>
  <c r="O22" i="7"/>
  <c r="O38" i="7" s="1"/>
  <c r="O45" i="7" s="1"/>
  <c r="O23" i="7"/>
  <c r="O24" i="7" s="1"/>
  <c r="P30" i="7"/>
  <c r="P31" i="7" s="1"/>
  <c r="P34" i="5"/>
  <c r="Q34" i="6" l="1"/>
  <c r="R28" i="6" s="1"/>
  <c r="Q11" i="7"/>
  <c r="P45" i="6"/>
  <c r="P14" i="7" s="1"/>
  <c r="P46" i="6"/>
  <c r="Q44" i="6" s="1"/>
  <c r="Q31" i="5"/>
  <c r="P37" i="5"/>
  <c r="P35" i="5"/>
  <c r="R30" i="6" l="1"/>
  <c r="P38" i="6"/>
  <c r="P21" i="7" s="1"/>
  <c r="P9" i="7"/>
  <c r="P13" i="7" s="1"/>
  <c r="P15" i="7" s="1"/>
  <c r="Q33" i="5"/>
  <c r="Q32" i="5"/>
  <c r="R32" i="6" l="1"/>
  <c r="R36" i="6" s="1"/>
  <c r="Q43" i="6" s="1"/>
  <c r="R10" i="7"/>
  <c r="R29" i="5"/>
  <c r="R30" i="5" s="1"/>
  <c r="P16" i="7"/>
  <c r="P22" i="7"/>
  <c r="P38" i="7" s="1"/>
  <c r="P45" i="7" s="1"/>
  <c r="P23" i="7"/>
  <c r="P24" i="7" s="1"/>
  <c r="Q30" i="7"/>
  <c r="Q31" i="7" s="1"/>
  <c r="Q34" i="5"/>
  <c r="R34" i="6" l="1"/>
  <c r="S28" i="6" s="1"/>
  <c r="R11" i="7"/>
  <c r="Q45" i="6"/>
  <c r="Q14" i="7" s="1"/>
  <c r="Q46" i="6"/>
  <c r="R44" i="6" s="1"/>
  <c r="R31" i="5"/>
  <c r="Q37" i="5"/>
  <c r="Q35" i="5"/>
  <c r="S30" i="6" l="1"/>
  <c r="Q38" i="6"/>
  <c r="Q21" i="7" s="1"/>
  <c r="Q9" i="7"/>
  <c r="Q13" i="7" s="1"/>
  <c r="Q15" i="7" s="1"/>
  <c r="R33" i="5"/>
  <c r="R32" i="5"/>
  <c r="S32" i="6" l="1"/>
  <c r="S36" i="6"/>
  <c r="R43" i="6" s="1"/>
  <c r="S10" i="7"/>
  <c r="S29" i="5"/>
  <c r="S30" i="5" s="1"/>
  <c r="Q16" i="7"/>
  <c r="Q22" i="7"/>
  <c r="Q38" i="7" s="1"/>
  <c r="Q45" i="7" s="1"/>
  <c r="Q23" i="7"/>
  <c r="Q24" i="7" s="1"/>
  <c r="R30" i="7"/>
  <c r="R31" i="7" s="1"/>
  <c r="R34" i="5"/>
  <c r="S34" i="6" l="1"/>
  <c r="T28" i="6" s="1"/>
  <c r="S11" i="7"/>
  <c r="R45" i="6"/>
  <c r="R14" i="7" s="1"/>
  <c r="R46" i="6"/>
  <c r="S44" i="6" s="1"/>
  <c r="S31" i="5"/>
  <c r="R37" i="5"/>
  <c r="R35" i="5"/>
  <c r="T30" i="6" l="1"/>
  <c r="R38" i="6"/>
  <c r="R21" i="7" s="1"/>
  <c r="R9" i="7"/>
  <c r="R13" i="7" s="1"/>
  <c r="R15" i="7" s="1"/>
  <c r="S33" i="5"/>
  <c r="S32" i="5"/>
  <c r="T32" i="6" l="1"/>
  <c r="T36" i="6" s="1"/>
  <c r="S43" i="6" s="1"/>
  <c r="T10" i="7"/>
  <c r="T29" i="5"/>
  <c r="T30" i="5" s="1"/>
  <c r="R16" i="7"/>
  <c r="R22" i="7"/>
  <c r="R38" i="7" s="1"/>
  <c r="R45" i="7" s="1"/>
  <c r="R23" i="7"/>
  <c r="R24" i="7" s="1"/>
  <c r="S30" i="7"/>
  <c r="S31" i="7" s="1"/>
  <c r="S34" i="5"/>
  <c r="T34" i="6" l="1"/>
  <c r="U28" i="6" s="1"/>
  <c r="T11" i="7"/>
  <c r="S45" i="6"/>
  <c r="S14" i="7" s="1"/>
  <c r="S46" i="6"/>
  <c r="T44" i="6" s="1"/>
  <c r="T31" i="5"/>
  <c r="S37" i="5"/>
  <c r="S35" i="5"/>
  <c r="U30" i="6" l="1"/>
  <c r="S38" i="6"/>
  <c r="S21" i="7" s="1"/>
  <c r="S9" i="7"/>
  <c r="S13" i="7" s="1"/>
  <c r="S15" i="7" s="1"/>
  <c r="T33" i="5"/>
  <c r="T32" i="5"/>
  <c r="U32" i="6" l="1"/>
  <c r="U36" i="6"/>
  <c r="T43" i="6" s="1"/>
  <c r="U10" i="7"/>
  <c r="U29" i="5"/>
  <c r="U30" i="5" s="1"/>
  <c r="S16" i="7"/>
  <c r="S22" i="7"/>
  <c r="S38" i="7" s="1"/>
  <c r="S45" i="7" s="1"/>
  <c r="S23" i="7"/>
  <c r="S24" i="7" s="1"/>
  <c r="T30" i="7"/>
  <c r="T31" i="7" s="1"/>
  <c r="T34" i="5"/>
  <c r="U34" i="6" l="1"/>
  <c r="V28" i="6" s="1"/>
  <c r="U11" i="7"/>
  <c r="T45" i="6"/>
  <c r="T14" i="7" s="1"/>
  <c r="T46" i="6"/>
  <c r="U44" i="6" s="1"/>
  <c r="U31" i="5"/>
  <c r="T37" i="5"/>
  <c r="T35" i="5"/>
  <c r="V30" i="6" l="1"/>
  <c r="T38" i="6"/>
  <c r="T21" i="7" s="1"/>
  <c r="T9" i="7"/>
  <c r="T13" i="7" s="1"/>
  <c r="T15" i="7" s="1"/>
  <c r="U33" i="5"/>
  <c r="U32" i="5"/>
  <c r="V32" i="6" l="1"/>
  <c r="V36" i="6"/>
  <c r="U43" i="6" s="1"/>
  <c r="V10" i="7"/>
  <c r="V29" i="5"/>
  <c r="V30" i="5" s="1"/>
  <c r="T16" i="7"/>
  <c r="T22" i="7"/>
  <c r="T38" i="7" s="1"/>
  <c r="T45" i="7" s="1"/>
  <c r="T23" i="7"/>
  <c r="T24" i="7" s="1"/>
  <c r="U30" i="7"/>
  <c r="U31" i="7" s="1"/>
  <c r="U34" i="5"/>
  <c r="V34" i="6" l="1"/>
  <c r="W28" i="6" s="1"/>
  <c r="V11" i="7"/>
  <c r="U45" i="6"/>
  <c r="U14" i="7" s="1"/>
  <c r="U46" i="6"/>
  <c r="V44" i="6" s="1"/>
  <c r="V31" i="5"/>
  <c r="U37" i="5"/>
  <c r="U35" i="5"/>
  <c r="W30" i="6" l="1"/>
  <c r="U38" i="6"/>
  <c r="U21" i="7" s="1"/>
  <c r="U9" i="7"/>
  <c r="U13" i="7" s="1"/>
  <c r="U15" i="7" s="1"/>
  <c r="V33" i="5"/>
  <c r="V32" i="5"/>
  <c r="W32" i="6" l="1"/>
  <c r="W36" i="6"/>
  <c r="V43" i="6" s="1"/>
  <c r="W10" i="7"/>
  <c r="W29" i="5"/>
  <c r="W30" i="5" s="1"/>
  <c r="U16" i="7"/>
  <c r="U22" i="7"/>
  <c r="U38" i="7" s="1"/>
  <c r="U45" i="7" s="1"/>
  <c r="U23" i="7"/>
  <c r="U24" i="7" s="1"/>
  <c r="V30" i="7"/>
  <c r="V31" i="7" s="1"/>
  <c r="V34" i="5"/>
  <c r="W34" i="6" l="1"/>
  <c r="X28" i="6" s="1"/>
  <c r="W11" i="7"/>
  <c r="V45" i="6"/>
  <c r="V14" i="7" s="1"/>
  <c r="V46" i="6"/>
  <c r="W44" i="6" s="1"/>
  <c r="W31" i="5"/>
  <c r="V37" i="5"/>
  <c r="V35" i="5"/>
  <c r="X30" i="6" l="1"/>
  <c r="V38" i="6"/>
  <c r="V21" i="7" s="1"/>
  <c r="V9" i="7"/>
  <c r="V13" i="7" s="1"/>
  <c r="V15" i="7" s="1"/>
  <c r="W33" i="5"/>
  <c r="W32" i="5"/>
  <c r="X32" i="6" l="1"/>
  <c r="X36" i="6"/>
  <c r="W43" i="6" s="1"/>
  <c r="X10" i="7"/>
  <c r="X29" i="5"/>
  <c r="X30" i="5" s="1"/>
  <c r="V16" i="7"/>
  <c r="V22" i="7"/>
  <c r="V38" i="7" s="1"/>
  <c r="V45" i="7" s="1"/>
  <c r="V23" i="7"/>
  <c r="V24" i="7" s="1"/>
  <c r="W30" i="7"/>
  <c r="W31" i="7" s="1"/>
  <c r="W34" i="5"/>
  <c r="X34" i="6" l="1"/>
  <c r="Y28" i="6" s="1"/>
  <c r="X11" i="7"/>
  <c r="W45" i="6"/>
  <c r="W14" i="7" s="1"/>
  <c r="W46" i="6"/>
  <c r="X44" i="6" s="1"/>
  <c r="X31" i="5"/>
  <c r="X33" i="5" s="1"/>
  <c r="X32" i="5"/>
  <c r="W37" i="5"/>
  <c r="W35" i="5"/>
  <c r="Y30" i="6" l="1"/>
  <c r="X34" i="5"/>
  <c r="X30" i="7"/>
  <c r="X31" i="7" s="1"/>
  <c r="W38" i="6"/>
  <c r="W21" i="7" s="1"/>
  <c r="W9" i="7"/>
  <c r="W13" i="7" s="1"/>
  <c r="W15" i="7" s="1"/>
  <c r="Y32" i="6" l="1"/>
  <c r="Y36" i="6"/>
  <c r="X43" i="6" s="1"/>
  <c r="Y10" i="7"/>
  <c r="Y29" i="5"/>
  <c r="Y30" i="5" s="1"/>
  <c r="W16" i="7"/>
  <c r="W22" i="7"/>
  <c r="W38" i="7" s="1"/>
  <c r="W45" i="7" s="1"/>
  <c r="W23" i="7"/>
  <c r="W24" i="7" s="1"/>
  <c r="X37" i="5"/>
  <c r="X35" i="5"/>
  <c r="Y34" i="6" l="1"/>
  <c r="Z28" i="6" s="1"/>
  <c r="Y11" i="7"/>
  <c r="X45" i="6"/>
  <c r="X14" i="7" s="1"/>
  <c r="X46" i="6"/>
  <c r="Y44" i="6" s="1"/>
  <c r="Y31" i="5"/>
  <c r="X9" i="7"/>
  <c r="X13" i="7" s="1"/>
  <c r="X38" i="6"/>
  <c r="X21" i="7" s="1"/>
  <c r="Z30" i="6" l="1"/>
  <c r="X15" i="7"/>
  <c r="Y33" i="5"/>
  <c r="Y32" i="5"/>
  <c r="Z32" i="6" l="1"/>
  <c r="Z36" i="6"/>
  <c r="Y43" i="6" s="1"/>
  <c r="Z10" i="7"/>
  <c r="Z29" i="5"/>
  <c r="Z30" i="5" s="1"/>
  <c r="X23" i="7"/>
  <c r="X24" i="7" s="1"/>
  <c r="X22" i="7"/>
  <c r="X38" i="7" s="1"/>
  <c r="X45" i="7" s="1"/>
  <c r="X16" i="7"/>
  <c r="Y30" i="7"/>
  <c r="Y31" i="7" s="1"/>
  <c r="Y34" i="5"/>
  <c r="Z34" i="6" l="1"/>
  <c r="AA28" i="6" s="1"/>
  <c r="Z11" i="7"/>
  <c r="Y45" i="6"/>
  <c r="Y14" i="7" s="1"/>
  <c r="Y46" i="6"/>
  <c r="Z44" i="6" s="1"/>
  <c r="Z31" i="5"/>
  <c r="Y37" i="5"/>
  <c r="Y35" i="5"/>
  <c r="AA30" i="6" l="1"/>
  <c r="Y38" i="6"/>
  <c r="Y21" i="7" s="1"/>
  <c r="Y9" i="7"/>
  <c r="Y13" i="7" s="1"/>
  <c r="Y15" i="7" s="1"/>
  <c r="Z33" i="5"/>
  <c r="Z32" i="5"/>
  <c r="AA32" i="6" l="1"/>
  <c r="AA36" i="6"/>
  <c r="Z43" i="6" s="1"/>
  <c r="AA10" i="7"/>
  <c r="AA29" i="5"/>
  <c r="AA30" i="5" s="1"/>
  <c r="Y16" i="7"/>
  <c r="Y22" i="7"/>
  <c r="Y38" i="7" s="1"/>
  <c r="Y45" i="7" s="1"/>
  <c r="Y23" i="7"/>
  <c r="Y24" i="7" s="1"/>
  <c r="Z30" i="7"/>
  <c r="Z31" i="7" s="1"/>
  <c r="Z34" i="5"/>
  <c r="AA34" i="6" l="1"/>
  <c r="AB28" i="6" s="1"/>
  <c r="AA11" i="7"/>
  <c r="Z45" i="6"/>
  <c r="Z14" i="7" s="1"/>
  <c r="Z46" i="6"/>
  <c r="AA44" i="6" s="1"/>
  <c r="AA31" i="5"/>
  <c r="Z37" i="5"/>
  <c r="Z35" i="5"/>
  <c r="AB30" i="6" l="1"/>
  <c r="Z38" i="6"/>
  <c r="Z21" i="7" s="1"/>
  <c r="Z9" i="7"/>
  <c r="Z13" i="7" s="1"/>
  <c r="Z15" i="7" s="1"/>
  <c r="AA33" i="5"/>
  <c r="AA32" i="5"/>
  <c r="AB32" i="6" l="1"/>
  <c r="AB36" i="6" s="1"/>
  <c r="AA43" i="6" s="1"/>
  <c r="AB10" i="7"/>
  <c r="AB29" i="5"/>
  <c r="AB30" i="5" s="1"/>
  <c r="Z16" i="7"/>
  <c r="Z22" i="7"/>
  <c r="Z38" i="7" s="1"/>
  <c r="Z45" i="7" s="1"/>
  <c r="Z23" i="7"/>
  <c r="Z24" i="7" s="1"/>
  <c r="AA30" i="7"/>
  <c r="AA31" i="7" s="1"/>
  <c r="AA34" i="5"/>
  <c r="AB34" i="6" l="1"/>
  <c r="AC28" i="6" s="1"/>
  <c r="AB11" i="7"/>
  <c r="AA45" i="6"/>
  <c r="AA14" i="7" s="1"/>
  <c r="AA46" i="6"/>
  <c r="AB44" i="6" s="1"/>
  <c r="AB31" i="5"/>
  <c r="AA37" i="5"/>
  <c r="AA35" i="5"/>
  <c r="AC30" i="6" l="1"/>
  <c r="AA38" i="6"/>
  <c r="AA21" i="7" s="1"/>
  <c r="AA9" i="7"/>
  <c r="AA13" i="7" s="1"/>
  <c r="AA15" i="7" s="1"/>
  <c r="AB33" i="5"/>
  <c r="AB32" i="5"/>
  <c r="AC32" i="6" l="1"/>
  <c r="AC36" i="6" s="1"/>
  <c r="AB43" i="6" s="1"/>
  <c r="AC10" i="7"/>
  <c r="AC29" i="5"/>
  <c r="AC30" i="5" s="1"/>
  <c r="AA16" i="7"/>
  <c r="AA22" i="7"/>
  <c r="AA38" i="7" s="1"/>
  <c r="AA45" i="7" s="1"/>
  <c r="AA23" i="7"/>
  <c r="AA24" i="7" s="1"/>
  <c r="AB30" i="7"/>
  <c r="AB31" i="7" s="1"/>
  <c r="AB34" i="5"/>
  <c r="AC34" i="6" l="1"/>
  <c r="AD28" i="6" s="1"/>
  <c r="AC11" i="7"/>
  <c r="AB45" i="6"/>
  <c r="AB14" i="7" s="1"/>
  <c r="AB46" i="6"/>
  <c r="AC44" i="6" s="1"/>
  <c r="AC31" i="5"/>
  <c r="AB37" i="5"/>
  <c r="AB35" i="5"/>
  <c r="AD30" i="6" l="1"/>
  <c r="AB38" i="6"/>
  <c r="AB21" i="7" s="1"/>
  <c r="AB9" i="7"/>
  <c r="AB13" i="7" s="1"/>
  <c r="AB15" i="7" s="1"/>
  <c r="AC33" i="5"/>
  <c r="AC32" i="5"/>
  <c r="AD32" i="6" l="1"/>
  <c r="AD36" i="6"/>
  <c r="AC43" i="6" s="1"/>
  <c r="AD10" i="7"/>
  <c r="AD29" i="5"/>
  <c r="AD30" i="5" s="1"/>
  <c r="AB16" i="7"/>
  <c r="AB22" i="7"/>
  <c r="AB38" i="7" s="1"/>
  <c r="AB45" i="7" s="1"/>
  <c r="AB23" i="7"/>
  <c r="AB24" i="7" s="1"/>
  <c r="AC30" i="7"/>
  <c r="AC31" i="7" s="1"/>
  <c r="AC34" i="5"/>
  <c r="AD34" i="6" l="1"/>
  <c r="AE28" i="6" s="1"/>
  <c r="AD11" i="7"/>
  <c r="AC45" i="6"/>
  <c r="AC14" i="7" s="1"/>
  <c r="AC46" i="6"/>
  <c r="AD44" i="6" s="1"/>
  <c r="AD31" i="5"/>
  <c r="AC37" i="5"/>
  <c r="AC35" i="5"/>
  <c r="AE30" i="6" l="1"/>
  <c r="AC38" i="6"/>
  <c r="AC21" i="7" s="1"/>
  <c r="AC9" i="7"/>
  <c r="AC13" i="7" s="1"/>
  <c r="AC15" i="7" s="1"/>
  <c r="AD33" i="5"/>
  <c r="AD32" i="5"/>
  <c r="AE32" i="6" l="1"/>
  <c r="AE36" i="6"/>
  <c r="AD43" i="6" s="1"/>
  <c r="AE10" i="7"/>
  <c r="AE29" i="5"/>
  <c r="AE30" i="5" s="1"/>
  <c r="AC16" i="7"/>
  <c r="AC22" i="7"/>
  <c r="AC38" i="7" s="1"/>
  <c r="AC45" i="7" s="1"/>
  <c r="AC23" i="7"/>
  <c r="AC24" i="7" s="1"/>
  <c r="AD30" i="7"/>
  <c r="AD31" i="7" s="1"/>
  <c r="AD34" i="5"/>
  <c r="AE34" i="6" l="1"/>
  <c r="AF28" i="6" s="1"/>
  <c r="AE11" i="7"/>
  <c r="AD45" i="6"/>
  <c r="AD14" i="7" s="1"/>
  <c r="AD46" i="6"/>
  <c r="AE44" i="6" s="1"/>
  <c r="AE31" i="5"/>
  <c r="AD37" i="5"/>
  <c r="AD35" i="5"/>
  <c r="AF30" i="6" l="1"/>
  <c r="AD38" i="6"/>
  <c r="AD21" i="7" s="1"/>
  <c r="AD9" i="7"/>
  <c r="AD13" i="7" s="1"/>
  <c r="AD15" i="7" s="1"/>
  <c r="AE33" i="5"/>
  <c r="AE32" i="5"/>
  <c r="AF32" i="6" l="1"/>
  <c r="AF36" i="6" s="1"/>
  <c r="AE43" i="6" s="1"/>
  <c r="AF10" i="7"/>
  <c r="AF29" i="5"/>
  <c r="AF30" i="5" s="1"/>
  <c r="AD16" i="7"/>
  <c r="AD22" i="7"/>
  <c r="AE30" i="7"/>
  <c r="AE31" i="7" s="1"/>
  <c r="AE34" i="5"/>
  <c r="AF34" i="6" l="1"/>
  <c r="AG28" i="6" s="1"/>
  <c r="AF11" i="7"/>
  <c r="AE45" i="6"/>
  <c r="AE14" i="7" s="1"/>
  <c r="AE46" i="6"/>
  <c r="AF44" i="6" s="1"/>
  <c r="AF31" i="5"/>
  <c r="AD38" i="7"/>
  <c r="AD45" i="7" s="1"/>
  <c r="AD23" i="7"/>
  <c r="AD24" i="7" s="1"/>
  <c r="AE37" i="5"/>
  <c r="AE35" i="5"/>
  <c r="AG30" i="6" l="1"/>
  <c r="AE38" i="6"/>
  <c r="AE21" i="7" s="1"/>
  <c r="AE9" i="7"/>
  <c r="AE13" i="7" s="1"/>
  <c r="AE15" i="7" s="1"/>
  <c r="AF33" i="5"/>
  <c r="AF32" i="5"/>
  <c r="AG32" i="6" l="1"/>
  <c r="AG36" i="6" s="1"/>
  <c r="AF43" i="6" s="1"/>
  <c r="AG10" i="7"/>
  <c r="AG29" i="5"/>
  <c r="AG30" i="5" s="1"/>
  <c r="AE16" i="7"/>
  <c r="AE22" i="7"/>
  <c r="AF30" i="7"/>
  <c r="AF31" i="7" s="1"/>
  <c r="AF34" i="5"/>
  <c r="AG34" i="6" l="1"/>
  <c r="AH28" i="6" s="1"/>
  <c r="AG11" i="7"/>
  <c r="AF45" i="6"/>
  <c r="AF14" i="7" s="1"/>
  <c r="AF46" i="6"/>
  <c r="AG44" i="6" s="1"/>
  <c r="AG31" i="5"/>
  <c r="AE38" i="7"/>
  <c r="AE45" i="7" s="1"/>
  <c r="AE23" i="7"/>
  <c r="AE24" i="7" s="1"/>
  <c r="AF37" i="5"/>
  <c r="AF35" i="5"/>
  <c r="AH30" i="6" l="1"/>
  <c r="AF38" i="6"/>
  <c r="AF21" i="7" s="1"/>
  <c r="AF9" i="7"/>
  <c r="AF13" i="7" s="1"/>
  <c r="AF15" i="7" s="1"/>
  <c r="AG33" i="5"/>
  <c r="AG32" i="5"/>
  <c r="AH32" i="6" l="1"/>
  <c r="AH36" i="6" s="1"/>
  <c r="AG43" i="6" s="1"/>
  <c r="AH10" i="7"/>
  <c r="AH29" i="5"/>
  <c r="AH30" i="5" s="1"/>
  <c r="AF16" i="7"/>
  <c r="AF22" i="7"/>
  <c r="AF38" i="7" s="1"/>
  <c r="AF45" i="7" s="1"/>
  <c r="AF23" i="7"/>
  <c r="AF24" i="7" s="1"/>
  <c r="AG30" i="7"/>
  <c r="AG31" i="7" s="1"/>
  <c r="AG34" i="5"/>
  <c r="AH34" i="6" l="1"/>
  <c r="AI28" i="6" s="1"/>
  <c r="AH11" i="7"/>
  <c r="AG45" i="6"/>
  <c r="AG14" i="7" s="1"/>
  <c r="AG46" i="6"/>
  <c r="AH44" i="6" s="1"/>
  <c r="AH31" i="5"/>
  <c r="AG37" i="5"/>
  <c r="AG35" i="5"/>
  <c r="AI30" i="6" l="1"/>
  <c r="AG38" i="6"/>
  <c r="AG21" i="7" s="1"/>
  <c r="AG9" i="7"/>
  <c r="AG13" i="7" s="1"/>
  <c r="AG15" i="7" s="1"/>
  <c r="AH33" i="5"/>
  <c r="AH32" i="5"/>
  <c r="AI32" i="6" l="1"/>
  <c r="AI36" i="6"/>
  <c r="AH43" i="6" s="1"/>
  <c r="AI10" i="7"/>
  <c r="AI29" i="5"/>
  <c r="AI30" i="5" s="1"/>
  <c r="AG16" i="7"/>
  <c r="AG22" i="7"/>
  <c r="AG38" i="7" s="1"/>
  <c r="AG45" i="7" s="1"/>
  <c r="AG23" i="7"/>
  <c r="AG24" i="7" s="1"/>
  <c r="AH30" i="7"/>
  <c r="AH31" i="7" s="1"/>
  <c r="AH34" i="5"/>
  <c r="AI34" i="6" l="1"/>
  <c r="AJ28" i="6" s="1"/>
  <c r="AI11" i="7"/>
  <c r="AH45" i="6"/>
  <c r="AH14" i="7" s="1"/>
  <c r="AH46" i="6"/>
  <c r="AI44" i="6" s="1"/>
  <c r="AI31" i="5"/>
  <c r="AH37" i="5"/>
  <c r="AH35" i="5"/>
  <c r="AJ30" i="6" l="1"/>
  <c r="AH38" i="6"/>
  <c r="AH21" i="7" s="1"/>
  <c r="AH9" i="7"/>
  <c r="AH13" i="7" s="1"/>
  <c r="AH15" i="7" s="1"/>
  <c r="AI33" i="5"/>
  <c r="AI32" i="5"/>
  <c r="AJ32" i="6" l="1"/>
  <c r="AJ36" i="6" s="1"/>
  <c r="AI43" i="6" s="1"/>
  <c r="AJ10" i="7"/>
  <c r="AJ29" i="5"/>
  <c r="AJ30" i="5" s="1"/>
  <c r="AH16" i="7"/>
  <c r="AH22" i="7"/>
  <c r="AH38" i="7" s="1"/>
  <c r="AH45" i="7" s="1"/>
  <c r="AH23" i="7"/>
  <c r="AH24" i="7" s="1"/>
  <c r="AI30" i="7"/>
  <c r="AI31" i="7" s="1"/>
  <c r="AI34" i="5"/>
  <c r="AJ34" i="6" l="1"/>
  <c r="AK28" i="6" s="1"/>
  <c r="AJ11" i="7"/>
  <c r="AI45" i="6"/>
  <c r="AI14" i="7" s="1"/>
  <c r="AI46" i="6"/>
  <c r="AJ44" i="6" s="1"/>
  <c r="AJ31" i="5"/>
  <c r="AI37" i="5"/>
  <c r="AI35" i="5"/>
  <c r="AK30" i="6" l="1"/>
  <c r="AI38" i="6"/>
  <c r="AI21" i="7" s="1"/>
  <c r="AI9" i="7"/>
  <c r="AI13" i="7" s="1"/>
  <c r="AI15" i="7" s="1"/>
  <c r="AJ33" i="5"/>
  <c r="AJ32" i="5"/>
  <c r="AK32" i="6" l="1"/>
  <c r="AK36" i="6" s="1"/>
  <c r="AJ43" i="6" s="1"/>
  <c r="AK10" i="7"/>
  <c r="AK29" i="5"/>
  <c r="AK30" i="5" s="1"/>
  <c r="AI16" i="7"/>
  <c r="AI22" i="7"/>
  <c r="AJ30" i="7"/>
  <c r="AJ31" i="7" s="1"/>
  <c r="AJ34" i="5"/>
  <c r="AK34" i="6" l="1"/>
  <c r="AL28" i="6" s="1"/>
  <c r="AK11" i="7"/>
  <c r="AJ45" i="6"/>
  <c r="AJ14" i="7" s="1"/>
  <c r="AJ46" i="6"/>
  <c r="AK44" i="6" s="1"/>
  <c r="AK31" i="5"/>
  <c r="AI38" i="7"/>
  <c r="AI45" i="7" s="1"/>
  <c r="AI23" i="7"/>
  <c r="AI24" i="7" s="1"/>
  <c r="AJ37" i="5"/>
  <c r="AJ35" i="5"/>
  <c r="AL30" i="6" l="1"/>
  <c r="AJ38" i="6"/>
  <c r="AJ21" i="7" s="1"/>
  <c r="AJ9" i="7"/>
  <c r="AJ13" i="7" s="1"/>
  <c r="AJ15" i="7" s="1"/>
  <c r="AK33" i="5"/>
  <c r="AK32" i="5"/>
  <c r="AL32" i="6" l="1"/>
  <c r="AL36" i="6"/>
  <c r="AK43" i="6" s="1"/>
  <c r="AL10" i="7"/>
  <c r="AL29" i="5"/>
  <c r="AL30" i="5" s="1"/>
  <c r="AJ16" i="7"/>
  <c r="AJ22" i="7"/>
  <c r="AK30" i="7"/>
  <c r="AK31" i="7" s="1"/>
  <c r="AK34" i="5"/>
  <c r="AL34" i="6" l="1"/>
  <c r="AM28" i="6" s="1"/>
  <c r="AL11" i="7"/>
  <c r="AK45" i="6"/>
  <c r="AK14" i="7" s="1"/>
  <c r="AK46" i="6"/>
  <c r="AL44" i="6" s="1"/>
  <c r="AL31" i="5"/>
  <c r="AJ38" i="7"/>
  <c r="AJ45" i="7" s="1"/>
  <c r="AJ23" i="7"/>
  <c r="AJ24" i="7" s="1"/>
  <c r="AK37" i="5"/>
  <c r="AK35" i="5"/>
  <c r="AM30" i="6" l="1"/>
  <c r="AK38" i="6"/>
  <c r="AK21" i="7" s="1"/>
  <c r="AK9" i="7"/>
  <c r="AK13" i="7" s="1"/>
  <c r="AK15" i="7" s="1"/>
  <c r="AL33" i="5"/>
  <c r="AL32" i="5"/>
  <c r="AM32" i="6" l="1"/>
  <c r="AM36" i="6" s="1"/>
  <c r="AL43" i="6" s="1"/>
  <c r="AM10" i="7"/>
  <c r="AM29" i="5"/>
  <c r="AM30" i="5" s="1"/>
  <c r="AK16" i="7"/>
  <c r="AK22" i="7"/>
  <c r="AK38" i="7" s="1"/>
  <c r="AK45" i="7" s="1"/>
  <c r="AK23" i="7"/>
  <c r="AK24" i="7" s="1"/>
  <c r="AL30" i="7"/>
  <c r="AL31" i="7" s="1"/>
  <c r="AL34" i="5"/>
  <c r="AM34" i="6" l="1"/>
  <c r="AN28" i="6" s="1"/>
  <c r="AM11" i="7"/>
  <c r="AL45" i="6"/>
  <c r="AL14" i="7" s="1"/>
  <c r="AL46" i="6"/>
  <c r="AM44" i="6" s="1"/>
  <c r="AM31" i="5"/>
  <c r="AL37" i="5"/>
  <c r="AL35" i="5"/>
  <c r="AN30" i="6" l="1"/>
  <c r="AL38" i="6"/>
  <c r="AL21" i="7" s="1"/>
  <c r="AL9" i="7"/>
  <c r="AL13" i="7" s="1"/>
  <c r="AL15" i="7" s="1"/>
  <c r="AM33" i="5"/>
  <c r="AM32" i="5"/>
  <c r="AN32" i="6" l="1"/>
  <c r="AN36" i="6"/>
  <c r="AM43" i="6" s="1"/>
  <c r="AN10" i="7"/>
  <c r="AN29" i="5"/>
  <c r="AN30" i="5" s="1"/>
  <c r="AL16" i="7"/>
  <c r="AL22" i="7"/>
  <c r="AL38" i="7" s="1"/>
  <c r="AL45" i="7" s="1"/>
  <c r="AL23" i="7"/>
  <c r="AL24" i="7" s="1"/>
  <c r="AM30" i="7"/>
  <c r="AM31" i="7" s="1"/>
  <c r="AM34" i="5"/>
  <c r="AN34" i="6" l="1"/>
  <c r="AO28" i="6" s="1"/>
  <c r="AN11" i="7"/>
  <c r="AM45" i="6"/>
  <c r="AM14" i="7" s="1"/>
  <c r="AM46" i="6"/>
  <c r="AN44" i="6" s="1"/>
  <c r="AN31" i="5"/>
  <c r="AM37" i="5"/>
  <c r="AM35" i="5"/>
  <c r="AO30" i="6" l="1"/>
  <c r="AM38" i="6"/>
  <c r="AM21" i="7" s="1"/>
  <c r="AM9" i="7"/>
  <c r="AM13" i="7" s="1"/>
  <c r="AM15" i="7" s="1"/>
  <c r="AN33" i="5"/>
  <c r="AN32" i="5"/>
  <c r="AO32" i="6" l="1"/>
  <c r="AO36" i="6"/>
  <c r="AN43" i="6" s="1"/>
  <c r="AO10" i="7"/>
  <c r="AO29" i="5"/>
  <c r="AO30" i="5" s="1"/>
  <c r="AM16" i="7"/>
  <c r="AM22" i="7"/>
  <c r="AM38" i="7" s="1"/>
  <c r="AM45" i="7" s="1"/>
  <c r="AM23" i="7"/>
  <c r="AM24" i="7" s="1"/>
  <c r="AN30" i="7"/>
  <c r="AN31" i="7" s="1"/>
  <c r="AN34" i="5"/>
  <c r="AO34" i="6" l="1"/>
  <c r="AP28" i="6" s="1"/>
  <c r="AO11" i="7"/>
  <c r="AN45" i="6"/>
  <c r="AN14" i="7" s="1"/>
  <c r="AN46" i="6"/>
  <c r="AO44" i="6" s="1"/>
  <c r="AO31" i="5"/>
  <c r="AN37" i="5"/>
  <c r="AN35" i="5"/>
  <c r="AP30" i="6" l="1"/>
  <c r="AN38" i="6"/>
  <c r="AN21" i="7" s="1"/>
  <c r="AN9" i="7"/>
  <c r="AN13" i="7" s="1"/>
  <c r="AN15" i="7" s="1"/>
  <c r="AO33" i="5"/>
  <c r="AO32" i="5"/>
  <c r="AP32" i="6" l="1"/>
  <c r="AP36" i="6" s="1"/>
  <c r="AO43" i="6" s="1"/>
  <c r="AP10" i="7"/>
  <c r="AP29" i="5"/>
  <c r="AP30" i="5" s="1"/>
  <c r="AN16" i="7"/>
  <c r="AN22" i="7"/>
  <c r="AO30" i="7"/>
  <c r="AO31" i="7" s="1"/>
  <c r="AO34" i="5"/>
  <c r="AP34" i="6" l="1"/>
  <c r="AP11" i="7"/>
  <c r="AO45" i="6"/>
  <c r="AO14" i="7" s="1"/>
  <c r="AO46" i="6"/>
  <c r="AP44" i="6" s="1"/>
  <c r="AP31" i="5"/>
  <c r="AN38" i="7"/>
  <c r="AN45" i="7" s="1"/>
  <c r="AN23" i="7"/>
  <c r="AN24" i="7" s="1"/>
  <c r="AO37" i="5"/>
  <c r="AO35" i="5"/>
  <c r="AQ28" i="6" l="1"/>
  <c r="C12" i="9"/>
  <c r="AO38" i="6"/>
  <c r="AO21" i="7" s="1"/>
  <c r="AO9" i="7"/>
  <c r="AO13" i="7" s="1"/>
  <c r="AO15" i="7" s="1"/>
  <c r="AP33" i="5"/>
  <c r="AP32" i="5"/>
  <c r="AQ30" i="6" l="1"/>
  <c r="AO16" i="7"/>
  <c r="AO22" i="7"/>
  <c r="AP30" i="7"/>
  <c r="AP31" i="7" s="1"/>
  <c r="AP34" i="5"/>
  <c r="AQ32" i="6" l="1"/>
  <c r="AQ36" i="6"/>
  <c r="AP43" i="6" s="1"/>
  <c r="AQ10" i="7"/>
  <c r="AQ29" i="5"/>
  <c r="AQ30" i="5" s="1"/>
  <c r="AO38" i="7"/>
  <c r="AO45" i="7" s="1"/>
  <c r="AO23" i="7"/>
  <c r="AO24" i="7" s="1"/>
  <c r="AP37" i="5"/>
  <c r="AP35" i="5"/>
  <c r="AQ34" i="6" l="1"/>
  <c r="AR28" i="6" s="1"/>
  <c r="AQ11" i="7"/>
  <c r="AP45" i="6"/>
  <c r="AP14" i="7" s="1"/>
  <c r="AP46" i="6"/>
  <c r="AQ31" i="5"/>
  <c r="AQ33" i="5" s="1"/>
  <c r="AQ32" i="5"/>
  <c r="AP38" i="6"/>
  <c r="AP21" i="7" s="1"/>
  <c r="AP9" i="7"/>
  <c r="AP13" i="7" s="1"/>
  <c r="AR30" i="6" l="1"/>
  <c r="C14" i="9"/>
  <c r="AQ44" i="6"/>
  <c r="AQ34" i="5"/>
  <c r="AQ37" i="5" s="1"/>
  <c r="AQ35" i="5"/>
  <c r="AQ30" i="7"/>
  <c r="AQ31" i="7" s="1"/>
  <c r="AP15" i="7"/>
  <c r="AR32" i="6" l="1"/>
  <c r="AR36" i="6" s="1"/>
  <c r="AQ43" i="6" s="1"/>
  <c r="AR10" i="7"/>
  <c r="AR29" i="5"/>
  <c r="AR30" i="5" s="1"/>
  <c r="AQ38" i="6"/>
  <c r="AQ21" i="7" s="1"/>
  <c r="AQ9" i="7"/>
  <c r="AQ13" i="7" s="1"/>
  <c r="AP23" i="7"/>
  <c r="AP24" i="7" s="1"/>
  <c r="AP22" i="7"/>
  <c r="AP38" i="7" s="1"/>
  <c r="AP45" i="7" s="1"/>
  <c r="AP16" i="7"/>
  <c r="AR34" i="6" l="1"/>
  <c r="AS28" i="6" s="1"/>
  <c r="AR11" i="7"/>
  <c r="AQ45" i="6"/>
  <c r="AQ14" i="7" s="1"/>
  <c r="AQ15" i="7" s="1"/>
  <c r="AQ16" i="7" s="1"/>
  <c r="AQ46" i="6"/>
  <c r="AR44" i="6" s="1"/>
  <c r="AR31" i="5"/>
  <c r="AQ22" i="7"/>
  <c r="AQ38" i="7" s="1"/>
  <c r="AQ45" i="7" s="1"/>
  <c r="AQ23" i="7"/>
  <c r="AQ24" i="7" s="1"/>
  <c r="AS30" i="6" l="1"/>
  <c r="AR33" i="5"/>
  <c r="AR32" i="5"/>
  <c r="AS32" i="6" l="1"/>
  <c r="AS36" i="6"/>
  <c r="AR43" i="6" s="1"/>
  <c r="AS10" i="7"/>
  <c r="AS29" i="5"/>
  <c r="AS30" i="5" s="1"/>
  <c r="AR30" i="7"/>
  <c r="AR31" i="7" s="1"/>
  <c r="AR34" i="5"/>
  <c r="AS34" i="6" l="1"/>
  <c r="AT28" i="6" s="1"/>
  <c r="AS11" i="7"/>
  <c r="AR45" i="6"/>
  <c r="AR14" i="7" s="1"/>
  <c r="AR46" i="6"/>
  <c r="AS44" i="6" s="1"/>
  <c r="AS31" i="5"/>
  <c r="AR37" i="5"/>
  <c r="AR35" i="5"/>
  <c r="AT30" i="6" l="1"/>
  <c r="AR38" i="6"/>
  <c r="AR21" i="7" s="1"/>
  <c r="AR9" i="7"/>
  <c r="AR13" i="7" s="1"/>
  <c r="AR15" i="7" s="1"/>
  <c r="AS33" i="5"/>
  <c r="AS32" i="5"/>
  <c r="AT32" i="6" l="1"/>
  <c r="AT36" i="6" s="1"/>
  <c r="AS43" i="6" s="1"/>
  <c r="AT10" i="7"/>
  <c r="AT29" i="5"/>
  <c r="AT30" i="5" s="1"/>
  <c r="AR16" i="7"/>
  <c r="AR22" i="7"/>
  <c r="AS30" i="7"/>
  <c r="AS31" i="7" s="1"/>
  <c r="AS34" i="5"/>
  <c r="AT34" i="6" l="1"/>
  <c r="AU28" i="6" s="1"/>
  <c r="AT11" i="7"/>
  <c r="AS45" i="6"/>
  <c r="AS14" i="7" s="1"/>
  <c r="AS46" i="6"/>
  <c r="AT44" i="6" s="1"/>
  <c r="AT31" i="5"/>
  <c r="AR38" i="7"/>
  <c r="AR45" i="7" s="1"/>
  <c r="AR23" i="7"/>
  <c r="AR24" i="7" s="1"/>
  <c r="AS37" i="5"/>
  <c r="AS35" i="5"/>
  <c r="AU30" i="6" l="1"/>
  <c r="AS38" i="6"/>
  <c r="AS21" i="7" s="1"/>
  <c r="AS9" i="7"/>
  <c r="AS13" i="7" s="1"/>
  <c r="AS15" i="7" s="1"/>
  <c r="AT33" i="5"/>
  <c r="AT32" i="5"/>
  <c r="AU32" i="6" l="1"/>
  <c r="AU36" i="6"/>
  <c r="AT43" i="6" s="1"/>
  <c r="AU10" i="7"/>
  <c r="AU29" i="5"/>
  <c r="AU30" i="5" s="1"/>
  <c r="AS16" i="7"/>
  <c r="AS22" i="7"/>
  <c r="AS38" i="7" s="1"/>
  <c r="AS45" i="7" s="1"/>
  <c r="AS23" i="7"/>
  <c r="AS24" i="7" s="1"/>
  <c r="AT30" i="7"/>
  <c r="AT31" i="7" s="1"/>
  <c r="AT34" i="5"/>
  <c r="AU34" i="6" l="1"/>
  <c r="AV28" i="6" s="1"/>
  <c r="AU11" i="7"/>
  <c r="AT45" i="6"/>
  <c r="AT14" i="7" s="1"/>
  <c r="AT46" i="6"/>
  <c r="AU44" i="6" s="1"/>
  <c r="AU31" i="5"/>
  <c r="AT37" i="5"/>
  <c r="AT35" i="5"/>
  <c r="AV30" i="6" l="1"/>
  <c r="AT38" i="6"/>
  <c r="AT21" i="7" s="1"/>
  <c r="AT9" i="7"/>
  <c r="AT13" i="7" s="1"/>
  <c r="AT15" i="7" s="1"/>
  <c r="AU33" i="5"/>
  <c r="AU32" i="5"/>
  <c r="AV32" i="6" l="1"/>
  <c r="AV36" i="6" s="1"/>
  <c r="AU43" i="6" s="1"/>
  <c r="AV10" i="7"/>
  <c r="AV29" i="5"/>
  <c r="AV30" i="5" s="1"/>
  <c r="AT16" i="7"/>
  <c r="AT22" i="7"/>
  <c r="AT38" i="7" s="1"/>
  <c r="AT45" i="7" s="1"/>
  <c r="AT23" i="7"/>
  <c r="AT24" i="7" s="1"/>
  <c r="AU30" i="7"/>
  <c r="AU31" i="7" s="1"/>
  <c r="AU34" i="5"/>
  <c r="AV34" i="6" l="1"/>
  <c r="AW28" i="6" s="1"/>
  <c r="AV11" i="7"/>
  <c r="AU45" i="6"/>
  <c r="AU14" i="7" s="1"/>
  <c r="AU46" i="6"/>
  <c r="AV44" i="6" s="1"/>
  <c r="AV31" i="5"/>
  <c r="AU37" i="5"/>
  <c r="AU35" i="5"/>
  <c r="AW30" i="6" l="1"/>
  <c r="AU38" i="6"/>
  <c r="AU21" i="7" s="1"/>
  <c r="AU9" i="7"/>
  <c r="AU13" i="7" s="1"/>
  <c r="AU15" i="7" s="1"/>
  <c r="AV33" i="5"/>
  <c r="AV32" i="5"/>
  <c r="AW32" i="6" l="1"/>
  <c r="AW36" i="6"/>
  <c r="AV43" i="6" s="1"/>
  <c r="AW10" i="7"/>
  <c r="AW29" i="5"/>
  <c r="AW30" i="5" s="1"/>
  <c r="AU16" i="7"/>
  <c r="AU22" i="7"/>
  <c r="AU38" i="7" s="1"/>
  <c r="AU45" i="7" s="1"/>
  <c r="AU23" i="7"/>
  <c r="AU24" i="7" s="1"/>
  <c r="AV30" i="7"/>
  <c r="AV31" i="7" s="1"/>
  <c r="AV34" i="5"/>
  <c r="AW34" i="6" l="1"/>
  <c r="AX28" i="6" s="1"/>
  <c r="AW11" i="7"/>
  <c r="AV45" i="6"/>
  <c r="AV14" i="7" s="1"/>
  <c r="AV46" i="6"/>
  <c r="AW44" i="6" s="1"/>
  <c r="AW31" i="5"/>
  <c r="AV37" i="5"/>
  <c r="AV35" i="5"/>
  <c r="AX30" i="6" l="1"/>
  <c r="AV38" i="6"/>
  <c r="AV21" i="7" s="1"/>
  <c r="AV9" i="7"/>
  <c r="AV13" i="7" s="1"/>
  <c r="AV15" i="7" s="1"/>
  <c r="AW33" i="5"/>
  <c r="AW32" i="5"/>
  <c r="AX32" i="6" l="1"/>
  <c r="AX36" i="6" s="1"/>
  <c r="AW43" i="6" s="1"/>
  <c r="AX10" i="7"/>
  <c r="AX29" i="5"/>
  <c r="AX30" i="5" s="1"/>
  <c r="AV16" i="7"/>
  <c r="AV22" i="7"/>
  <c r="AV38" i="7" s="1"/>
  <c r="AV45" i="7" s="1"/>
  <c r="AV23" i="7"/>
  <c r="AV24" i="7" s="1"/>
  <c r="AW30" i="7"/>
  <c r="AW31" i="7" s="1"/>
  <c r="AW34" i="5"/>
  <c r="AX34" i="6" l="1"/>
  <c r="AY28" i="6" s="1"/>
  <c r="AX11" i="7"/>
  <c r="AW45" i="6"/>
  <c r="AW14" i="7" s="1"/>
  <c r="AW46" i="6"/>
  <c r="AX44" i="6" s="1"/>
  <c r="AX31" i="5"/>
  <c r="AW37" i="5"/>
  <c r="AW35" i="5"/>
  <c r="AY30" i="6" l="1"/>
  <c r="AW38" i="6"/>
  <c r="AW21" i="7" s="1"/>
  <c r="AW9" i="7"/>
  <c r="AW13" i="7" s="1"/>
  <c r="AW15" i="7" s="1"/>
  <c r="AX33" i="5"/>
  <c r="AX32" i="5"/>
  <c r="AY32" i="6" l="1"/>
  <c r="AY36" i="6" s="1"/>
  <c r="AX43" i="6" s="1"/>
  <c r="AY10" i="7"/>
  <c r="AY29" i="5"/>
  <c r="AY30" i="5" s="1"/>
  <c r="AW16" i="7"/>
  <c r="AW22" i="7"/>
  <c r="AX30" i="7"/>
  <c r="AX31" i="7" s="1"/>
  <c r="AX34" i="5"/>
  <c r="AY34" i="6" l="1"/>
  <c r="AZ28" i="6" s="1"/>
  <c r="AY11" i="7"/>
  <c r="AX45" i="6"/>
  <c r="AX14" i="7" s="1"/>
  <c r="AX46" i="6"/>
  <c r="AY44" i="6" s="1"/>
  <c r="AY31" i="5"/>
  <c r="AW38" i="7"/>
  <c r="AW45" i="7" s="1"/>
  <c r="AW23" i="7"/>
  <c r="AW24" i="7" s="1"/>
  <c r="AX37" i="5"/>
  <c r="AX35" i="5"/>
  <c r="AZ30" i="6" l="1"/>
  <c r="AX38" i="6"/>
  <c r="AX21" i="7" s="1"/>
  <c r="AX9" i="7"/>
  <c r="AX13" i="7" s="1"/>
  <c r="AX15" i="7" s="1"/>
  <c r="AY33" i="5"/>
  <c r="AY32" i="5"/>
  <c r="AZ32" i="6" l="1"/>
  <c r="AZ36" i="6" s="1"/>
  <c r="AY43" i="6" s="1"/>
  <c r="AZ10" i="7"/>
  <c r="AZ29" i="5"/>
  <c r="AZ30" i="5" s="1"/>
  <c r="AX16" i="7"/>
  <c r="AX22" i="7"/>
  <c r="AX38" i="7" s="1"/>
  <c r="AX45" i="7" s="1"/>
  <c r="AX23" i="7"/>
  <c r="AX24" i="7" s="1"/>
  <c r="AY30" i="7"/>
  <c r="AY31" i="7" s="1"/>
  <c r="AY34" i="5"/>
  <c r="AZ34" i="6" l="1"/>
  <c r="BA28" i="6" s="1"/>
  <c r="AZ11" i="7"/>
  <c r="AY45" i="6"/>
  <c r="AY14" i="7" s="1"/>
  <c r="AY46" i="6"/>
  <c r="AZ44" i="6" s="1"/>
  <c r="AZ31" i="5"/>
  <c r="AY37" i="5"/>
  <c r="AY35" i="5"/>
  <c r="BA30" i="6" l="1"/>
  <c r="AY38" i="6"/>
  <c r="AY21" i="7" s="1"/>
  <c r="AY9" i="7"/>
  <c r="AY13" i="7" s="1"/>
  <c r="AY15" i="7" s="1"/>
  <c r="AZ33" i="5"/>
  <c r="AZ32" i="5"/>
  <c r="BA32" i="6" l="1"/>
  <c r="BA36" i="6"/>
  <c r="AZ43" i="6" s="1"/>
  <c r="BA10" i="7"/>
  <c r="BA29" i="5"/>
  <c r="BA30" i="5" s="1"/>
  <c r="AY16" i="7"/>
  <c r="AY22" i="7"/>
  <c r="AY38" i="7" s="1"/>
  <c r="AY45" i="7" s="1"/>
  <c r="AY23" i="7"/>
  <c r="AY24" i="7" s="1"/>
  <c r="AZ30" i="7"/>
  <c r="AZ31" i="7" s="1"/>
  <c r="AZ34" i="5"/>
  <c r="BA34" i="6" l="1"/>
  <c r="BB28" i="6" s="1"/>
  <c r="BA11" i="7"/>
  <c r="AZ45" i="6"/>
  <c r="AZ14" i="7" s="1"/>
  <c r="AZ46" i="6"/>
  <c r="BA44" i="6" s="1"/>
  <c r="BA31" i="5"/>
  <c r="AZ37" i="5"/>
  <c r="AZ35" i="5"/>
  <c r="BB30" i="6" l="1"/>
  <c r="AZ38" i="6"/>
  <c r="AZ21" i="7" s="1"/>
  <c r="AZ9" i="7"/>
  <c r="AZ13" i="7" s="1"/>
  <c r="AZ15" i="7" s="1"/>
  <c r="BA33" i="5"/>
  <c r="BA32" i="5"/>
  <c r="BB32" i="6" l="1"/>
  <c r="BB36" i="6" s="1"/>
  <c r="BA43" i="6" s="1"/>
  <c r="BB10" i="7"/>
  <c r="BB29" i="5"/>
  <c r="BB30" i="5" s="1"/>
  <c r="AZ16" i="7"/>
  <c r="AZ22" i="7"/>
  <c r="AZ38" i="7" s="1"/>
  <c r="AZ45" i="7" s="1"/>
  <c r="AZ23" i="7"/>
  <c r="AZ24" i="7" s="1"/>
  <c r="BA30" i="7"/>
  <c r="BA31" i="7" s="1"/>
  <c r="BA34" i="5"/>
  <c r="BB34" i="6" l="1"/>
  <c r="BC28" i="6" s="1"/>
  <c r="BB11" i="7"/>
  <c r="BA45" i="6"/>
  <c r="BA14" i="7" s="1"/>
  <c r="BA46" i="6"/>
  <c r="BB44" i="6" s="1"/>
  <c r="BB31" i="5"/>
  <c r="BA37" i="5"/>
  <c r="BA35" i="5"/>
  <c r="BC30" i="6" l="1"/>
  <c r="BA38" i="6"/>
  <c r="BA21" i="7" s="1"/>
  <c r="BA9" i="7"/>
  <c r="BA13" i="7" s="1"/>
  <c r="BA15" i="7" s="1"/>
  <c r="BB33" i="5"/>
  <c r="BB32" i="5"/>
  <c r="BC32" i="6" l="1"/>
  <c r="BC36" i="6"/>
  <c r="BB43" i="6" s="1"/>
  <c r="BC10" i="7"/>
  <c r="BC29" i="5"/>
  <c r="BC30" i="5" s="1"/>
  <c r="BA16" i="7"/>
  <c r="BA22" i="7"/>
  <c r="BA38" i="7" s="1"/>
  <c r="BA45" i="7" s="1"/>
  <c r="BA23" i="7"/>
  <c r="BA24" i="7" s="1"/>
  <c r="BB30" i="7"/>
  <c r="BB31" i="7" s="1"/>
  <c r="BB34" i="5"/>
  <c r="BC34" i="6" l="1"/>
  <c r="BD28" i="6" s="1"/>
  <c r="BC11" i="7"/>
  <c r="BB45" i="6"/>
  <c r="BB14" i="7" s="1"/>
  <c r="BB46" i="6"/>
  <c r="BC44" i="6" s="1"/>
  <c r="BC31" i="5"/>
  <c r="BB37" i="5"/>
  <c r="BB35" i="5"/>
  <c r="BD30" i="6" l="1"/>
  <c r="BB38" i="6"/>
  <c r="BB21" i="7" s="1"/>
  <c r="BB9" i="7"/>
  <c r="BB13" i="7" s="1"/>
  <c r="BB15" i="7" s="1"/>
  <c r="BC33" i="5"/>
  <c r="BC32" i="5"/>
  <c r="BD32" i="6" l="1"/>
  <c r="BD36" i="6" s="1"/>
  <c r="BC43" i="6" s="1"/>
  <c r="BD10" i="7"/>
  <c r="BD29" i="5"/>
  <c r="BD30" i="5" s="1"/>
  <c r="BB16" i="7"/>
  <c r="BB22" i="7"/>
  <c r="BB38" i="7" s="1"/>
  <c r="BB45" i="7" s="1"/>
  <c r="BB23" i="7"/>
  <c r="BB24" i="7" s="1"/>
  <c r="BC30" i="7"/>
  <c r="BC31" i="7" s="1"/>
  <c r="BC34" i="5"/>
  <c r="BD34" i="6" l="1"/>
  <c r="C13" i="9" s="1"/>
  <c r="BD11" i="7"/>
  <c r="BC45" i="6"/>
  <c r="BC14" i="7" s="1"/>
  <c r="BC46" i="6"/>
  <c r="BD44" i="6" s="1"/>
  <c r="BD45" i="6" s="1"/>
  <c r="BD14" i="7" s="1"/>
  <c r="BD31" i="5"/>
  <c r="BC37" i="5"/>
  <c r="BC35" i="5"/>
  <c r="BC38" i="6" l="1"/>
  <c r="BC21" i="7" s="1"/>
  <c r="BC9" i="7"/>
  <c r="BC13" i="7" s="1"/>
  <c r="BC15" i="7" s="1"/>
  <c r="BD33" i="5"/>
  <c r="BD32" i="5"/>
  <c r="BC16" i="7" l="1"/>
  <c r="BC22" i="7"/>
  <c r="BC38" i="7" s="1"/>
  <c r="BC45" i="7" s="1"/>
  <c r="BC23" i="7"/>
  <c r="BC24" i="7" s="1"/>
  <c r="BD30" i="7"/>
  <c r="BD31" i="7" s="1"/>
  <c r="C33" i="7" s="1"/>
  <c r="C34" i="7" s="1"/>
  <c r="C13" i="1" s="1"/>
  <c r="BD34" i="5"/>
  <c r="BD37" i="5" l="1"/>
  <c r="BD35" i="5"/>
  <c r="BD38" i="6" l="1"/>
  <c r="BD9" i="7"/>
  <c r="BD13" i="7" s="1"/>
  <c r="BD15" i="7" s="1"/>
  <c r="C27" i="7"/>
  <c r="F15" i="1" s="1"/>
  <c r="C40" i="6" l="1"/>
  <c r="F14" i="1" s="1"/>
  <c r="C39" i="6"/>
  <c r="BD21" i="7"/>
  <c r="BD16" i="7"/>
  <c r="BD22" i="7"/>
  <c r="BD23" i="7" s="1"/>
  <c r="BD24" i="7" s="1"/>
  <c r="C15" i="9" l="1"/>
  <c r="C7" i="9" s="1"/>
  <c r="B21" i="1" s="1"/>
  <c r="F13" i="1"/>
  <c r="C43" i="7"/>
  <c r="C15" i="1" s="1"/>
  <c r="BD38" i="7"/>
  <c r="BD45" i="7" l="1"/>
  <c r="C45" i="7" s="1"/>
  <c r="C16" i="1" s="1"/>
  <c r="C40" i="7"/>
  <c r="C41" i="7" s="1"/>
  <c r="C14" i="1" s="1"/>
</calcChain>
</file>

<file path=xl/sharedStrings.xml><?xml version="1.0" encoding="utf-8"?>
<sst xmlns="http://schemas.openxmlformats.org/spreadsheetml/2006/main" count="250" uniqueCount="237">
  <si>
    <t>PROJECT ATLAS  -  50 MWp Solar PV, France</t>
  </si>
  <si>
    <t>PROJECT SUMMARY</t>
  </si>
  <si>
    <t>•  50 MWp ground-mounted solar PV - Nouvelle-Aquitaine, France</t>
  </si>
  <si>
    <t>•  20-year CRE (CfD) contract at €79/MWh, then 5-year merchant tail at €55/MWh (real)</t>
  </si>
  <si>
    <t>•  €41.0m capex · €43.6m total funded cost · 75% senior debt on capex, financing costs equity-funded</t>
  </si>
  <si>
    <t>•  18-year senior facility · sculpted to 1.55x contracted DSCR · 4.75% all-in fixed rate</t>
  </si>
  <si>
    <t>HEADLINE OUTPUTS</t>
  </si>
  <si>
    <t>Project IRR (unlevered)</t>
  </si>
  <si>
    <t>Minimum DSCR</t>
  </si>
  <si>
    <t>Equity IRR (levered)</t>
  </si>
  <si>
    <t>Average DSCR</t>
  </si>
  <si>
    <t>Equity multiple (MOIC)</t>
  </si>
  <si>
    <t>Minimum LLCR</t>
  </si>
  <si>
    <t>Equity payback</t>
  </si>
  <si>
    <t>Senior debt</t>
  </si>
  <si>
    <t>Gearing (on capex)</t>
  </si>
  <si>
    <t>Equity</t>
  </si>
  <si>
    <t>Binding constraint</t>
  </si>
  <si>
    <t>MODEL INTEGRITY</t>
  </si>
  <si>
    <t>STATED SIMPLIFICATIONS</t>
  </si>
  <si>
    <t>–  Debt sized on pre-tax CFADS (= EBITDA); post-tax DSCR tested separately, clears at 1.37x</t>
  </si>
  <si>
    <t>–  IDC circularity broken via manual Goal Seek, no iterative calculation used</t>
  </si>
  <si>
    <t>–  Financing costs (IDC, fees, DSRA) equity-funded; gearing is 75% of capex, ~70% of total cost</t>
  </si>
  <si>
    <t>–  DSRA included in depreciation base (immaterial); no working capital modelled</t>
  </si>
  <si>
    <t>–  No refinancing, no construction-delay scenario, straight-line tax depreciation</t>
  </si>
  <si>
    <t>–  Merchant tail flat at €55/MWh (real)</t>
  </si>
  <si>
    <t>KEY ASSUMPTIONS &amp; SOURCES</t>
  </si>
  <si>
    <t>Assumption</t>
  </si>
  <si>
    <t>Value</t>
  </si>
  <si>
    <t>Source / basis</t>
  </si>
  <si>
    <t>Capacity</t>
  </si>
  <si>
    <t>50 MWp</t>
  </si>
  <si>
    <t>Design</t>
  </si>
  <si>
    <t>Yield (P50)</t>
  </si>
  <si>
    <t>1,402 kWh/kWp</t>
  </si>
  <si>
    <t>PVGIS site query</t>
  </si>
  <si>
    <t>Capex</t>
  </si>
  <si>
    <t>€820/kWp</t>
  </si>
  <si>
    <t>IRENA / Fraunhofer ISE, EU utility-scale</t>
  </si>
  <si>
    <t>Contract price</t>
  </si>
  <si>
    <t>€79/MWh (20 yr)</t>
  </si>
  <si>
    <t>Recent CRE PPE2 ground-mount tender avg</t>
  </si>
  <si>
    <t>Merchant tail</t>
  </si>
  <si>
    <t>€55/MWh real (5 yr)</t>
  </si>
  <si>
    <t>Conservative assumption</t>
  </si>
  <si>
    <t>All-in debt rate</t>
  </si>
  <si>
    <t>4.75% fixed</t>
  </si>
  <si>
    <t>Mid-swap + 175bp margin (judgement)</t>
  </si>
  <si>
    <t>Target DSCR</t>
  </si>
  <si>
    <t>1.55x / 1.60x</t>
  </si>
  <si>
    <t>Contracted / merchant (judgement)</t>
  </si>
  <si>
    <t>INPUTS - Assumptions &amp; sources</t>
  </si>
  <si>
    <t>Construction_periods</t>
  </si>
  <si>
    <t>Ops_periods</t>
  </si>
  <si>
    <t>Cfd_periods</t>
  </si>
  <si>
    <t>Debt_tenor_periods</t>
  </si>
  <si>
    <t>capacity_kwp</t>
  </si>
  <si>
    <t>yield_y1_kwh/kwp</t>
  </si>
  <si>
    <t>degradation/yr</t>
  </si>
  <si>
    <t>availibility</t>
  </si>
  <si>
    <t>total_capex/kwp</t>
  </si>
  <si>
    <t>annual_opex/kwp</t>
  </si>
  <si>
    <t>contracted_price/MWh</t>
  </si>
  <si>
    <t>merchant_tail_price/MWh</t>
  </si>
  <si>
    <t>asset_life_yrs</t>
  </si>
  <si>
    <t>max_debt_gearing</t>
  </si>
  <si>
    <t>On CAPEX spend only</t>
  </si>
  <si>
    <t>target_DSCR_Contracted</t>
  </si>
  <si>
    <t>target_DSCR_Merchant</t>
  </si>
  <si>
    <t>debt_rate</t>
  </si>
  <si>
    <t>DSRA_forward_debt_service_months</t>
  </si>
  <si>
    <t>corporate_tax_rate</t>
  </si>
  <si>
    <t>depreciation_yrs</t>
  </si>
  <si>
    <t>depreciation_periods</t>
  </si>
  <si>
    <t>total_periods_semiannual</t>
  </si>
  <si>
    <t>Indexed inflation</t>
  </si>
  <si>
    <t>TIMING -  Period calendar &amp; flags</t>
  </si>
  <si>
    <t>Period number</t>
  </si>
  <si>
    <t>Period start date</t>
  </si>
  <si>
    <t>Period end date</t>
  </si>
  <si>
    <t>Days in period</t>
  </si>
  <si>
    <t>Year Fraction</t>
  </si>
  <si>
    <t>Construction flag</t>
  </si>
  <si>
    <t>Operations flag</t>
  </si>
  <si>
    <t>Operating period number</t>
  </si>
  <si>
    <t>Operating year number</t>
  </si>
  <si>
    <t>Contracted flag</t>
  </si>
  <si>
    <t>Merchant flag</t>
  </si>
  <si>
    <t>Debt repayment flag</t>
  </si>
  <si>
    <t>Depreciation flag</t>
  </si>
  <si>
    <t>CONSTRUCTION - Capex, funding &amp; IDC</t>
  </si>
  <si>
    <t>Capex profile %</t>
  </si>
  <si>
    <t>Capex spend (millions)</t>
  </si>
  <si>
    <t>Cumulative Capex (millions)</t>
  </si>
  <si>
    <t>Financing fees (1% of debt)</t>
  </si>
  <si>
    <t>DSRA initial funding</t>
  </si>
  <si>
    <t>Debt drawn</t>
  </si>
  <si>
    <t>Equity drawn</t>
  </si>
  <si>
    <t>Debt balance b/f</t>
  </si>
  <si>
    <t>Debt drawn in period</t>
  </si>
  <si>
    <t>IDC in period (Assumed)</t>
  </si>
  <si>
    <t>IDC in period (Calculated)</t>
  </si>
  <si>
    <t>IDC check</t>
  </si>
  <si>
    <t>Debt balance c/f</t>
  </si>
  <si>
    <t>SOURCES AND USES</t>
  </si>
  <si>
    <t>USES:</t>
  </si>
  <si>
    <t>IDC (Capitalised)</t>
  </si>
  <si>
    <t>DSRA Initial funding</t>
  </si>
  <si>
    <t>Total uses</t>
  </si>
  <si>
    <t>SOURCES:</t>
  </si>
  <si>
    <t>Senior Debt</t>
  </si>
  <si>
    <t>Total Sources</t>
  </si>
  <si>
    <t>Check (Uses-Sources)</t>
  </si>
  <si>
    <t>OPERATIONS - Production, revenue &amp; CFADS</t>
  </si>
  <si>
    <t>ELECTRICITY PRODUCTION</t>
  </si>
  <si>
    <t>Degradation factor</t>
  </si>
  <si>
    <t>Seasonality</t>
  </si>
  <si>
    <t>Production (MWh)</t>
  </si>
  <si>
    <t>REVENUE</t>
  </si>
  <si>
    <t>Price €/MWh</t>
  </si>
  <si>
    <t>Revenue €m</t>
  </si>
  <si>
    <t>COSTS</t>
  </si>
  <si>
    <t>Opex €m</t>
  </si>
  <si>
    <t>EBITDA</t>
  </si>
  <si>
    <t>TAX</t>
  </si>
  <si>
    <t>Depreciation</t>
  </si>
  <si>
    <t>EBIT</t>
  </si>
  <si>
    <t>Interest</t>
  </si>
  <si>
    <t>Profit before tax</t>
  </si>
  <si>
    <t>Loss b/f</t>
  </si>
  <si>
    <t>Taxable profit</t>
  </si>
  <si>
    <t>Loss c/f</t>
  </si>
  <si>
    <t xml:space="preserve">Tax </t>
  </si>
  <si>
    <t>PAT</t>
  </si>
  <si>
    <t>CFADS (EBITDA-Tax)</t>
  </si>
  <si>
    <t>DEBT  —  Sizing, sculpting, DSRA</t>
  </si>
  <si>
    <t>Semiannual rate</t>
  </si>
  <si>
    <t>DEBT SIZING</t>
  </si>
  <si>
    <t>A</t>
  </si>
  <si>
    <t>DSCR based capacity</t>
  </si>
  <si>
    <t>DSCR target</t>
  </si>
  <si>
    <t>Max debt service</t>
  </si>
  <si>
    <t>Discount factor</t>
  </si>
  <si>
    <t>DSCR Capacity (€m)</t>
  </si>
  <si>
    <t>B</t>
  </si>
  <si>
    <t>Gearing-based capacity</t>
  </si>
  <si>
    <t>Gearing capacity (€m)</t>
  </si>
  <si>
    <t>DEBT SIZE</t>
  </si>
  <si>
    <t>Binding Constraint</t>
  </si>
  <si>
    <t>REPAYMENT SCHEDULE</t>
  </si>
  <si>
    <t>Opening Balance</t>
  </si>
  <si>
    <t xml:space="preserve">Interest </t>
  </si>
  <si>
    <t>Target debt service</t>
  </si>
  <si>
    <t>Principal repayment</t>
  </si>
  <si>
    <t>Closing Balance</t>
  </si>
  <si>
    <t>Actual debt service</t>
  </si>
  <si>
    <t>DSCR</t>
  </si>
  <si>
    <t>Min DSCR</t>
  </si>
  <si>
    <t>Avg DSCR</t>
  </si>
  <si>
    <t>DSRA</t>
  </si>
  <si>
    <t>DSRA required</t>
  </si>
  <si>
    <t>DSRA opening</t>
  </si>
  <si>
    <t>DSRA movement</t>
  </si>
  <si>
    <t>DSRA closing</t>
  </si>
  <si>
    <t>RETURNS - Waterfall, IRR &amp; LLCR</t>
  </si>
  <si>
    <t>CASH-FLOW WATERFALL</t>
  </si>
  <si>
    <t>CFADS</t>
  </si>
  <si>
    <t>Less: Senior interest</t>
  </si>
  <si>
    <t>Less: Senior principal</t>
  </si>
  <si>
    <t>Cash flow after debt service</t>
  </si>
  <si>
    <t>Less: DSRA movement</t>
  </si>
  <si>
    <t>Cash available for distribution</t>
  </si>
  <si>
    <t>Cumulative cash available for distribution</t>
  </si>
  <si>
    <t>Lock-up mechanism</t>
  </si>
  <si>
    <t>Lock up DSCR</t>
  </si>
  <si>
    <t>Lock up test</t>
  </si>
  <si>
    <t>Cash distribution</t>
  </si>
  <si>
    <t>Cash trapped</t>
  </si>
  <si>
    <t>Cumulative cash trapped</t>
  </si>
  <si>
    <t>LLCR</t>
  </si>
  <si>
    <t>NPV of CFADS over the debt term, discounted at borrowing rate, plus DSRA balance, divided by outstanding debt.</t>
  </si>
  <si>
    <t>PROJECT CASH FLOW &amp; RETURNS</t>
  </si>
  <si>
    <t>Tax charge (Project 100% equity funded)</t>
  </si>
  <si>
    <t>Project cash flow (Unlevered)</t>
  </si>
  <si>
    <t>Project IRR</t>
  </si>
  <si>
    <t>Project IRR annualised</t>
  </si>
  <si>
    <t>EQUITY IRR</t>
  </si>
  <si>
    <t>Equity cash flow</t>
  </si>
  <si>
    <t>Equity IRR</t>
  </si>
  <si>
    <t>Equity IRR annualised</t>
  </si>
  <si>
    <t>Equity MOIC</t>
  </si>
  <si>
    <t>Equity Payback - Cumulative cashflow</t>
  </si>
  <si>
    <t>SENSITIVITIES</t>
  </si>
  <si>
    <t>Prod ↓ / Price →</t>
  </si>
  <si>
    <t>P90</t>
  </si>
  <si>
    <t>P75</t>
  </si>
  <si>
    <t>P50</t>
  </si>
  <si>
    <t>P50+</t>
  </si>
  <si>
    <t>TABLE 2 · EQUITY IRR — CAPEX (×) × PRODUCTION (P-CASE)   [IDC CAVEAT]</t>
  </si>
  <si>
    <t>Capex ↓ / Prod →</t>
  </si>
  <si>
    <t>-10%</t>
  </si>
  <si>
    <t>Base</t>
  </si>
  <si>
    <t>+10%</t>
  </si>
  <si>
    <t>+20%</t>
  </si>
  <si>
    <t>TORNADO · EQUITY IRR SENSITIVITY (ONE-AT-A-TIME SWING FROM BASE)</t>
  </si>
  <si>
    <t>Driver</t>
  </si>
  <si>
    <t>Low</t>
  </si>
  <si>
    <t>High</t>
  </si>
  <si>
    <t>Swing</t>
  </si>
  <si>
    <t>Debt rate ±100bp</t>
  </si>
  <si>
    <t>CfD price ±10%</t>
  </si>
  <si>
    <t>Production ±10%</t>
  </si>
  <si>
    <t>Capex ±15%</t>
  </si>
  <si>
    <t xml:space="preserve">CHECKS </t>
  </si>
  <si>
    <t>Check description</t>
  </si>
  <si>
    <t>Test</t>
  </si>
  <si>
    <t>Master check</t>
  </si>
  <si>
    <t>Sources equals uses</t>
  </si>
  <si>
    <t>Debt drawdown equals debt sized</t>
  </si>
  <si>
    <t>Equity drawdown equals equity requirement</t>
  </si>
  <si>
    <t>Debt fully repaid at maturity</t>
  </si>
  <si>
    <t>Debt stays positive</t>
  </si>
  <si>
    <t>DSRA releases to zero at maturity</t>
  </si>
  <si>
    <t>Min. DSCR clears lock up covenant</t>
  </si>
  <si>
    <t>Construction flag sums to 2</t>
  </si>
  <si>
    <t>Operations flag sums to 50</t>
  </si>
  <si>
    <t>Contracted+merchant=Operations</t>
  </si>
  <si>
    <t>Debt repayment flag sums to tenor</t>
  </si>
  <si>
    <t>Depreciation flas sums to dep. Period</t>
  </si>
  <si>
    <t>Total depreciation equals depreciable base</t>
  </si>
  <si>
    <t>Production reconciles to capacity X yield</t>
  </si>
  <si>
    <t xml:space="preserve">TABLE 1 · EQUITY IRR — PRODUCTION (P-CASE) × CONTRACT PRICE €/MWH </t>
  </si>
  <si>
    <t>Ground-mounted solar - Nouvelle-Aquitaine - Project finance model - Base case with sensititvity analysis</t>
  </si>
  <si>
    <t xml:space="preserve">Self-built for skills demonstration only </t>
  </si>
  <si>
    <t xml:space="preserve">Prepared by: </t>
  </si>
  <si>
    <t>Saud Shaikh</t>
  </si>
  <si>
    <t>saudshaikh044@gmail.com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</si>
</sst>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%"/>
    <numFmt numFmtId="165" formatCode="0.00\x"/>
    <numFmt numFmtId="166" formatCode="\€0.0\m"/>
    <numFmt numFmtId="167" formatCode="_-* #,##0.00\ [$€-40C]_-;\-* #,##0.00\ [$€-40C]_-;_-* \-??\ [$€-40C]_-;_-@_-"/>
    <numFmt numFmtId="168" formatCode="_(* #,##0_);_(* \(#,##0\);_(* \-??_);_(@_)"/>
    <numFmt numFmtId="169" formatCode="_(* #,##0.00_ \x;_(* \(#,##0.00\);_(* \-??_);_(@_)"/>
    <numFmt numFmtId="170" formatCode="[$-809]dd\ mmmm\ yyyy;@"/>
    <numFmt numFmtId="171" formatCode="_-* #,##0\ [$€-40C]_-;\-* #,##0\ [$€-40C]_-;_-* \-??\ [$€-40C]_-;_-@_-"/>
    <numFmt numFmtId="172" formatCode="_-* #,##0.0000000000\ [$€-40C]_-;\-* #,##0.0000000000\ [$€-40C]_-;_-* \-??\ [$€-40C]_-;_-@_-"/>
    <numFmt numFmtId="173" formatCode="0.00_);\(0.00\)"/>
  </numFmts>
  <fonts count="43" x14ac:knownFonts="1">
    <font>
      <sz val="12"/>
      <color theme="1"/>
      <name val="Aptos Narrow"/>
      <family val="2"/>
      <charset val="1"/>
    </font>
    <font>
      <sz val="12"/>
      <color theme="1"/>
      <name val="Aptos Narrow"/>
    </font>
    <font>
      <i/>
      <sz val="11"/>
      <color theme="2" tint="-0.749992370372631"/>
      <name val="Aptos Narrow"/>
    </font>
    <font>
      <b/>
      <sz val="10"/>
      <color rgb="FFFFFFFF"/>
      <name val="Aptos Narrow"/>
    </font>
    <font>
      <sz val="10"/>
      <color theme="1"/>
      <name val="Aptos Narrow"/>
    </font>
    <font>
      <b/>
      <sz val="12"/>
      <color rgb="FFB7892E"/>
      <name val="Aptos Narrow"/>
    </font>
    <font>
      <b/>
      <sz val="10"/>
      <color rgb="FF1F3A5F"/>
      <name val="Aptos Narrow"/>
    </font>
    <font>
      <b/>
      <sz val="12"/>
      <color rgb="FFFFFFFF"/>
      <name val="Aptos Narrow"/>
    </font>
    <font>
      <i/>
      <sz val="9"/>
      <color rgb="FF5A6B7B"/>
      <name val="Aptos Narrow"/>
    </font>
    <font>
      <sz val="9"/>
      <color theme="1"/>
      <name val="Aptos Narrow"/>
    </font>
    <font>
      <b/>
      <sz val="9"/>
      <color theme="0"/>
      <name val="Aptos Narrow"/>
    </font>
    <font>
      <sz val="12"/>
      <color theme="0"/>
      <name val="Aptos Narrow"/>
    </font>
    <font>
      <sz val="9"/>
      <color rgb="FF1A1A1A"/>
      <name val="Aptos Narrow"/>
    </font>
    <font>
      <b/>
      <sz val="9"/>
      <color rgb="FF1F3A5F"/>
      <name val="Aptos Narrow"/>
    </font>
    <font>
      <i/>
      <sz val="9"/>
      <color theme="2" tint="-0.499984740745262"/>
      <name val="Aptos Narrow"/>
    </font>
    <font>
      <b/>
      <sz val="14"/>
      <color rgb="FF1F3A5F"/>
      <name val="Aptos Narrow"/>
    </font>
    <font>
      <sz val="10"/>
      <color rgb="FF1A1A1A"/>
      <name val="Calibri"/>
      <family val="2"/>
      <charset val="1"/>
    </font>
    <font>
      <sz val="10"/>
      <color rgb="FF0432FF"/>
      <name val="Calibri"/>
      <family val="2"/>
      <charset val="1"/>
    </font>
    <font>
      <i/>
      <sz val="9"/>
      <color rgb="FF5A6B7B"/>
      <name val="Calibri"/>
      <family val="2"/>
      <charset val="1"/>
    </font>
    <font>
      <sz val="10"/>
      <color rgb="FF1F3A5F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rgb="FF1A1A1A"/>
      <name val="Calibri"/>
      <family val="2"/>
      <charset val="1"/>
    </font>
    <font>
      <sz val="9"/>
      <color rgb="FF0432FF"/>
      <name val="Calibri"/>
      <family val="2"/>
      <charset val="1"/>
    </font>
    <font>
      <b/>
      <sz val="14"/>
      <color rgb="FF002060"/>
      <name val="Aptos Narrow"/>
    </font>
    <font>
      <b/>
      <sz val="9"/>
      <color rgb="FF1A1A1A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2"/>
      <color theme="1"/>
      <name val="Aptos Narrow"/>
    </font>
    <font>
      <b/>
      <sz val="12"/>
      <color rgb="FF1F3A5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0"/>
      <name val="Calibri"/>
      <family val="2"/>
      <charset val="1"/>
    </font>
    <font>
      <sz val="12"/>
      <color theme="1"/>
      <name val="Aptos Narrow"/>
      <scheme val="minor"/>
    </font>
    <font>
      <i/>
      <sz val="9"/>
      <color rgb="FF5A6B7B"/>
      <name val="Aptos Narrow"/>
      <scheme val="minor"/>
    </font>
    <font>
      <b/>
      <sz val="10"/>
      <color rgb="FFFFFFFF"/>
      <name val="Aptos Narrow"/>
      <scheme val="minor"/>
    </font>
    <font>
      <b/>
      <sz val="9"/>
      <color rgb="FFFFFFFF"/>
      <name val="Aptos Narrow"/>
      <scheme val="minor"/>
    </font>
    <font>
      <b/>
      <sz val="9"/>
      <color rgb="FF1A1A1A"/>
      <name val="Aptos Narrow"/>
      <scheme val="minor"/>
    </font>
    <font>
      <sz val="9"/>
      <color rgb="FF1A1A1A"/>
      <name val="Aptos Narrow"/>
      <scheme val="minor"/>
    </font>
    <font>
      <b/>
      <sz val="9"/>
      <color rgb="FFB7892E"/>
      <name val="Aptos Narrow"/>
      <scheme val="minor"/>
    </font>
    <font>
      <i/>
      <sz val="8"/>
      <color rgb="FF5A6B7B"/>
      <name val="Aptos Narrow"/>
      <scheme val="minor"/>
    </font>
    <font>
      <b/>
      <sz val="14"/>
      <color rgb="FF002060"/>
      <name val="Aptos Narrow"/>
      <scheme val="minor"/>
    </font>
    <font>
      <b/>
      <sz val="16"/>
      <color rgb="FF002060"/>
      <name val="Aptos Narrow"/>
    </font>
    <font>
      <u/>
      <sz val="12"/>
      <color theme="10"/>
      <name val="Aptos Narrow"/>
      <family val="2"/>
      <charset val="1"/>
    </font>
    <font>
      <i/>
      <sz val="12"/>
      <color theme="2" tint="-0.499984740745262"/>
      <name val="Aptos Narrow"/>
      <scheme val="minor"/>
    </font>
    <font>
      <i/>
      <u/>
      <sz val="12"/>
      <color theme="2" tint="-0.499984740745262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rgb="FFDCE6F1"/>
      </patternFill>
    </fill>
    <fill>
      <patternFill patternType="solid">
        <fgColor rgb="FF002060"/>
        <bgColor rgb="FF1F3A5F"/>
      </patternFill>
    </fill>
    <fill>
      <patternFill patternType="solid">
        <fgColor rgb="FF1E7A46"/>
        <bgColor rgb="FF339966"/>
      </patternFill>
    </fill>
    <fill>
      <patternFill patternType="solid">
        <fgColor rgb="FFFFF8E7"/>
        <bgColor rgb="FFFFFFFF"/>
      </patternFill>
    </fill>
    <fill>
      <patternFill patternType="solid">
        <fgColor theme="3" tint="0.89989928891872917"/>
        <bgColor rgb="FFDCE6F1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3" tint="0.74977874080629903"/>
        <bgColor rgb="FFB8C4D0"/>
      </patternFill>
    </fill>
    <fill>
      <patternFill patternType="solid">
        <fgColor rgb="FFFDEBC8"/>
        <bgColor rgb="FFFFF8E7"/>
      </patternFill>
    </fill>
    <fill>
      <patternFill patternType="solid">
        <fgColor rgb="FFDCE6F1"/>
        <bgColor rgb="FFDCEAF7"/>
      </patternFill>
    </fill>
    <fill>
      <patternFill patternType="solid">
        <fgColor rgb="FFEEF4FA"/>
        <bgColor rgb="FFE8E8E8"/>
      </patternFill>
    </fill>
    <fill>
      <patternFill patternType="solid">
        <fgColor rgb="FF002060"/>
        <bgColor rgb="FF3A3A3A"/>
      </patternFill>
    </fill>
    <fill>
      <patternFill patternType="solid">
        <fgColor rgb="FF002060"/>
        <bgColor rgb="FF15608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3A5F"/>
      </bottom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40" fillId="0" borderId="0" applyNumberFormat="0" applyFill="0" applyBorder="0" applyAlignment="0" applyProtection="0"/>
  </cellStyleXfs>
  <cellXfs count="100">
    <xf numFmtId="0" fontId="0" fillId="0" borderId="0" xfId="0"/>
    <xf numFmtId="0" fontId="10" fillId="3" borderId="0" xfId="0" applyFont="1" applyFill="1" applyAlignment="1">
      <alignment horizontal="left"/>
    </xf>
    <xf numFmtId="0" fontId="1" fillId="0" borderId="0" xfId="0" applyFont="1"/>
    <xf numFmtId="0" fontId="1" fillId="0" borderId="1" xfId="0" applyFont="1" applyBorder="1"/>
    <xf numFmtId="0" fontId="4" fillId="0" borderId="0" xfId="0" applyFont="1"/>
    <xf numFmtId="164" fontId="5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11" fillId="3" borderId="0" xfId="0" applyFont="1" applyFill="1"/>
    <xf numFmtId="0" fontId="12" fillId="2" borderId="0" xfId="0" applyFont="1" applyFill="1"/>
    <xf numFmtId="0" fontId="13" fillId="2" borderId="0" xfId="0" applyFont="1" applyFill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5" borderId="2" xfId="0" applyFont="1" applyFill="1" applyBorder="1" applyAlignment="1">
      <alignment horizontal="center"/>
    </xf>
    <xf numFmtId="0" fontId="18" fillId="0" borderId="0" xfId="0" applyFont="1"/>
    <xf numFmtId="10" fontId="17" fillId="5" borderId="2" xfId="0" applyNumberFormat="1" applyFont="1" applyFill="1" applyBorder="1" applyAlignment="1">
      <alignment horizontal="center"/>
    </xf>
    <xf numFmtId="167" fontId="17" fillId="5" borderId="2" xfId="0" applyNumberFormat="1" applyFont="1" applyFill="1" applyBorder="1" applyAlignment="1">
      <alignment horizontal="center"/>
    </xf>
    <xf numFmtId="168" fontId="17" fillId="5" borderId="2" xfId="0" applyNumberFormat="1" applyFont="1" applyFill="1" applyBorder="1" applyAlignment="1">
      <alignment horizontal="center"/>
    </xf>
    <xf numFmtId="9" fontId="17" fillId="5" borderId="2" xfId="0" applyNumberFormat="1" applyFont="1" applyFill="1" applyBorder="1" applyAlignment="1">
      <alignment horizontal="center"/>
    </xf>
    <xf numFmtId="169" fontId="17" fillId="5" borderId="2" xfId="0" applyNumberFormat="1" applyFont="1" applyFill="1" applyBorder="1" applyAlignment="1">
      <alignment horizontal="center"/>
    </xf>
    <xf numFmtId="0" fontId="19" fillId="5" borderId="2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170" fontId="22" fillId="0" borderId="0" xfId="0" applyNumberFormat="1" applyFont="1" applyAlignment="1">
      <alignment horizontal="center" vertical="center"/>
    </xf>
    <xf numFmtId="17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23" fillId="0" borderId="0" xfId="0" applyFont="1"/>
    <xf numFmtId="170" fontId="21" fillId="0" borderId="0" xfId="0" applyNumberFormat="1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71" fontId="21" fillId="0" borderId="0" xfId="0" applyNumberFormat="1" applyFont="1" applyAlignment="1">
      <alignment horizontal="center" vertical="center"/>
    </xf>
    <xf numFmtId="172" fontId="21" fillId="0" borderId="0" xfId="0" applyNumberFormat="1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167" fontId="24" fillId="0" borderId="3" xfId="0" applyNumberFormat="1" applyFont="1" applyBorder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167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167" fontId="21" fillId="0" borderId="4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69" fontId="21" fillId="0" borderId="0" xfId="0" applyNumberFormat="1" applyFont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24" fillId="6" borderId="0" xfId="0" applyFont="1" applyFill="1" applyAlignment="1">
      <alignment horizontal="left" vertical="center"/>
    </xf>
    <xf numFmtId="2" fontId="24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left" vertical="center"/>
    </xf>
    <xf numFmtId="0" fontId="21" fillId="7" borderId="0" xfId="0" applyFont="1" applyFill="1" applyAlignment="1">
      <alignment horizontal="center" vertical="center"/>
    </xf>
    <xf numFmtId="2" fontId="21" fillId="7" borderId="0" xfId="0" applyNumberFormat="1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/>
    </xf>
    <xf numFmtId="2" fontId="21" fillId="6" borderId="0" xfId="0" applyNumberFormat="1" applyFont="1" applyFill="1" applyAlignment="1">
      <alignment horizontal="center" vertical="center"/>
    </xf>
    <xf numFmtId="173" fontId="21" fillId="0" borderId="0" xfId="0" applyNumberFormat="1" applyFont="1" applyAlignment="1">
      <alignment horizontal="center" vertical="center"/>
    </xf>
    <xf numFmtId="0" fontId="21" fillId="8" borderId="0" xfId="0" applyFont="1" applyFill="1" applyAlignment="1">
      <alignment horizontal="left" vertical="center"/>
    </xf>
    <xf numFmtId="10" fontId="21" fillId="8" borderId="0" xfId="0" applyNumberFormat="1" applyFont="1" applyFill="1" applyAlignment="1">
      <alignment horizontal="center" vertical="center"/>
    </xf>
    <xf numFmtId="169" fontId="21" fillId="8" borderId="0" xfId="0" applyNumberFormat="1" applyFont="1" applyFill="1" applyAlignment="1">
      <alignment horizontal="center" vertical="center"/>
    </xf>
    <xf numFmtId="0" fontId="25" fillId="3" borderId="2" xfId="0" applyFont="1" applyFill="1" applyBorder="1" applyAlignment="1">
      <alignment horizontal="left"/>
    </xf>
    <xf numFmtId="0" fontId="25" fillId="3" borderId="2" xfId="0" applyFont="1" applyFill="1" applyBorder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27" fillId="10" borderId="0" xfId="0" applyFont="1" applyFill="1"/>
    <xf numFmtId="0" fontId="28" fillId="4" borderId="0" xfId="0" applyFont="1" applyFill="1" applyAlignment="1">
      <alignment horizontal="center" vertical="center"/>
    </xf>
    <xf numFmtId="0" fontId="16" fillId="11" borderId="2" xfId="0" applyFont="1" applyFill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30" fillId="0" borderId="0" xfId="0" applyFont="1"/>
    <xf numFmtId="0" fontId="31" fillId="0" borderId="0" xfId="0" applyFont="1"/>
    <xf numFmtId="0" fontId="34" fillId="0" borderId="2" xfId="0" applyFont="1" applyBorder="1"/>
    <xf numFmtId="164" fontId="35" fillId="0" borderId="2" xfId="0" applyNumberFormat="1" applyFont="1" applyBorder="1" applyAlignment="1">
      <alignment horizontal="center"/>
    </xf>
    <xf numFmtId="164" fontId="36" fillId="9" borderId="2" xfId="0" applyNumberFormat="1" applyFont="1" applyFill="1" applyBorder="1" applyAlignment="1">
      <alignment horizontal="center"/>
    </xf>
    <xf numFmtId="0" fontId="37" fillId="0" borderId="0" xfId="0" applyFont="1"/>
    <xf numFmtId="0" fontId="35" fillId="0" borderId="2" xfId="0" applyFont="1" applyBorder="1"/>
    <xf numFmtId="0" fontId="33" fillId="13" borderId="2" xfId="0" applyFont="1" applyFill="1" applyBorder="1"/>
    <xf numFmtId="0" fontId="33" fillId="13" borderId="2" xfId="0" applyFont="1" applyFill="1" applyBorder="1" applyAlignment="1">
      <alignment horizontal="center"/>
    </xf>
    <xf numFmtId="0" fontId="38" fillId="0" borderId="0" xfId="0" applyFont="1"/>
    <xf numFmtId="0" fontId="8" fillId="2" borderId="0" xfId="0" applyFont="1" applyFill="1"/>
    <xf numFmtId="0" fontId="14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/>
    </xf>
    <xf numFmtId="0" fontId="4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9" fillId="2" borderId="0" xfId="0" applyFont="1" applyFill="1" applyAlignment="1">
      <alignment horizontal="left" vertical="center"/>
    </xf>
    <xf numFmtId="0" fontId="2" fillId="0" borderId="0" xfId="0" applyFont="1"/>
    <xf numFmtId="0" fontId="32" fillId="12" borderId="0" xfId="0" applyFont="1" applyFill="1" applyAlignment="1">
      <alignment horizontal="left" vertical="center"/>
    </xf>
    <xf numFmtId="0" fontId="41" fillId="0" borderId="0" xfId="0" applyFont="1"/>
    <xf numFmtId="0" fontId="42" fillId="0" borderId="0" xfId="1" applyFont="1"/>
  </cellXfs>
  <cellStyles count="2">
    <cellStyle name="Hyperlink" xfId="1" builtinId="8"/>
    <cellStyle name="Normal" xfId="0" builtinId="0"/>
  </cellStyles>
  <dxfs count="5">
    <dxf>
      <font>
        <b/>
        <sz val="10"/>
        <color rgb="FFB22222"/>
        <name val="Calibri"/>
        <charset val="1"/>
      </font>
      <fill>
        <patternFill>
          <bgColor rgb="FFF6D6D6"/>
        </patternFill>
      </fill>
    </dxf>
    <dxf>
      <font>
        <b/>
        <sz val="10"/>
        <color rgb="FF1E7A46"/>
        <name val="Calibri"/>
        <charset val="1"/>
      </font>
      <fill>
        <patternFill>
          <bgColor rgb="FFD6EA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z val="12"/>
        <color rgb="FFB22222"/>
        <name val="Calibri"/>
        <charset val="1"/>
      </font>
      <fill>
        <patternFill>
          <bgColor rgb="FFF6D6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432FF"/>
      <rgbColor rgb="FFE8E8E8"/>
      <rgbColor rgb="FFFF00FF"/>
      <rgbColor rgb="FF00FFFF"/>
      <rgbColor rgb="FF9C0006"/>
      <rgbColor rgb="FF006100"/>
      <rgbColor rgb="FF000080"/>
      <rgbColor rgb="FFB7892E"/>
      <rgbColor rgb="FF800080"/>
      <rgbColor rgb="FF1E7A46"/>
      <rgbColor rgb="FFB8C4D0"/>
      <rgbColor rgb="FF747474"/>
      <rgbColor rgb="FFDCE6F1"/>
      <rgbColor rgb="FF993366"/>
      <rgbColor rgb="FFFFF8E7"/>
      <rgbColor rgb="FFDCEAF7"/>
      <rgbColor rgb="FF660066"/>
      <rgbColor rgb="FFFF8080"/>
      <rgbColor rgb="FF2E5C8A"/>
      <rgbColor rgb="FFD1D1D1"/>
      <rgbColor rgb="FF000080"/>
      <rgbColor rgb="FFFF00FF"/>
      <rgbColor rgb="FFEEF4FA"/>
      <rgbColor rgb="FF00FFFF"/>
      <rgbColor rgb="FF800080"/>
      <rgbColor rgb="FF800000"/>
      <rgbColor rgb="FF156082"/>
      <rgbColor rgb="FF0000FF"/>
      <rgbColor rgb="FF00CCFF"/>
      <rgbColor rgb="FFD6EADF"/>
      <rgbColor rgb="FFC6EFCE"/>
      <rgbColor rgb="FFFDEBC8"/>
      <rgbColor rgb="FFA6CAEC"/>
      <rgbColor rgb="FFF6D6D6"/>
      <rgbColor rgb="FFD9D9D9"/>
      <rgbColor rgb="FFFFC7CE"/>
      <rgbColor rgb="FF3366FF"/>
      <rgbColor rgb="FF33CCCC"/>
      <rgbColor rgb="FF99CC00"/>
      <rgbColor rgb="FFFFCC00"/>
      <rgbColor rgb="FFFF9900"/>
      <rgbColor rgb="FFE97132"/>
      <rgbColor rgb="FF5A6B7B"/>
      <rgbColor rgb="FFB3B3B3"/>
      <rgbColor rgb="FF002060"/>
      <rgbColor rgb="FF339966"/>
      <rgbColor rgb="FF003300"/>
      <rgbColor rgb="FF1A1A1A"/>
      <rgbColor rgb="FFB22222"/>
      <rgbColor rgb="FF993366"/>
      <rgbColor rgb="FF1F3A5F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Equity IRR  (low / high)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Sensitivities!$C$25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Sensitivities!$B$26:$B$29</c:f>
              <c:strCache>
                <c:ptCount val="4"/>
                <c:pt idx="0">
                  <c:v>Debt rate ±100bp</c:v>
                </c:pt>
                <c:pt idx="1">
                  <c:v>CfD price ±10%</c:v>
                </c:pt>
                <c:pt idx="2">
                  <c:v>Production ±10%</c:v>
                </c:pt>
                <c:pt idx="3">
                  <c:v>Capex ±15%</c:v>
                </c:pt>
              </c:strCache>
            </c:strRef>
          </c:cat>
          <c:val>
            <c:numRef>
              <c:f>Sensitivities!$C$26:$C$29</c:f>
              <c:numCache>
                <c:formatCode>0.0%</c:formatCode>
                <c:ptCount val="4"/>
                <c:pt idx="0">
                  <c:v>0.10382682392458401</c:v>
                </c:pt>
                <c:pt idx="1">
                  <c:v>9.2838787602815803E-2</c:v>
                </c:pt>
                <c:pt idx="2">
                  <c:v>9.1259958259874499E-2</c:v>
                </c:pt>
                <c:pt idx="3">
                  <c:v>9.2139559426996004E-2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A-8C4C-97AC-ADEE7B58606F}"/>
            </c:ext>
          </c:extLst>
        </c:ser>
        <c:ser>
          <c:idx val="1"/>
          <c:order val="1"/>
          <c:tx>
            <c:strRef>
              <c:f>Sensitivities!$D$25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Sensitivities!$B$26:$B$29</c:f>
              <c:strCache>
                <c:ptCount val="4"/>
                <c:pt idx="0">
                  <c:v>Debt rate ±100bp</c:v>
                </c:pt>
                <c:pt idx="1">
                  <c:v>CfD price ±10%</c:v>
                </c:pt>
                <c:pt idx="2">
                  <c:v>Production ±10%</c:v>
                </c:pt>
                <c:pt idx="3">
                  <c:v>Capex ±15%</c:v>
                </c:pt>
              </c:strCache>
            </c:strRef>
          </c:cat>
          <c:val>
            <c:numRef>
              <c:f>Sensitivities!$D$26:$D$29</c:f>
              <c:numCache>
                <c:formatCode>0.0%</c:formatCode>
                <c:ptCount val="4"/>
                <c:pt idx="0">
                  <c:v>0.110381227118292</c:v>
                </c:pt>
                <c:pt idx="1">
                  <c:v>0.12438166800884801</c:v>
                </c:pt>
                <c:pt idx="2">
                  <c:v>0.12518256289767701</c:v>
                </c:pt>
                <c:pt idx="3">
                  <c:v>0.130981731249838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9A-8C4C-97AC-ADEE7B586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03646"/>
        <c:axId val="38206229"/>
      </c:barChart>
      <c:catAx>
        <c:axId val="1430364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8206229"/>
        <c:crosses val="autoZero"/>
        <c:auto val="1"/>
        <c:lblAlgn val="ctr"/>
        <c:lblOffset val="100"/>
        <c:noMultiLvlLbl val="0"/>
      </c:catAx>
      <c:valAx>
        <c:axId val="3820622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4303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222249</xdr:colOff>
      <xdr:row>30</xdr:row>
      <xdr:rowOff>44143</xdr:rowOff>
    </xdr:from>
    <xdr:to>
      <xdr:col>5</xdr:col>
      <xdr:colOff>31836</xdr:colOff>
      <xdr:row>41</xdr:row>
      <xdr:rowOff>14760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udshaikh0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41"/>
  <sheetViews>
    <sheetView showGridLines="0" topLeftCell="A13" zoomScale="120" zoomScaleNormal="120" workbookViewId="0">
      <selection activeCell="B2" sqref="B2:F42"/>
    </sheetView>
  </sheetViews>
  <sheetFormatPr baseColWidth="10" defaultColWidth="10.5" defaultRowHeight="16" x14ac:dyDescent="0.2"/>
  <cols>
    <col min="1" max="1" width="3" style="2" customWidth="1"/>
    <col min="2" max="2" width="34" style="2" customWidth="1"/>
    <col min="3" max="3" width="16" style="2" customWidth="1"/>
    <col min="4" max="4" width="3" style="2" customWidth="1"/>
    <col min="5" max="5" width="34" style="2" customWidth="1"/>
    <col min="6" max="6" width="18" style="2" customWidth="1"/>
    <col min="7" max="16384" width="10.5" style="2"/>
  </cols>
  <sheetData>
    <row r="2" spans="2:6" ht="27.75" customHeight="1" x14ac:dyDescent="0.2">
      <c r="B2" s="95" t="s">
        <v>0</v>
      </c>
      <c r="C2" s="95"/>
      <c r="D2" s="95"/>
      <c r="E2" s="95"/>
      <c r="F2" s="95"/>
    </row>
    <row r="3" spans="2:6" ht="15.75" customHeight="1" x14ac:dyDescent="0.2">
      <c r="B3" s="96" t="s">
        <v>232</v>
      </c>
      <c r="C3" s="96"/>
      <c r="D3" s="96"/>
      <c r="E3" s="96"/>
      <c r="F3" s="96"/>
    </row>
    <row r="4" spans="2:6" ht="15.75" customHeight="1" x14ac:dyDescent="0.2">
      <c r="B4" s="3"/>
      <c r="C4" s="3"/>
      <c r="D4" s="3"/>
      <c r="E4" s="3"/>
      <c r="F4" s="3"/>
    </row>
    <row r="6" spans="2:6" ht="18" customHeight="1" x14ac:dyDescent="0.2">
      <c r="B6" s="90" t="s">
        <v>1</v>
      </c>
      <c r="C6" s="90"/>
      <c r="D6" s="90"/>
      <c r="E6" s="90"/>
      <c r="F6" s="90"/>
    </row>
    <row r="7" spans="2:6" ht="15.75" customHeight="1" x14ac:dyDescent="0.2">
      <c r="B7" s="92" t="s">
        <v>2</v>
      </c>
      <c r="C7" s="92"/>
      <c r="D7" s="92"/>
      <c r="E7" s="92"/>
      <c r="F7" s="92"/>
    </row>
    <row r="8" spans="2:6" ht="15.75" customHeight="1" x14ac:dyDescent="0.2">
      <c r="B8" s="92" t="s">
        <v>3</v>
      </c>
      <c r="C8" s="92"/>
      <c r="D8" s="92"/>
      <c r="E8" s="92"/>
      <c r="F8" s="92"/>
    </row>
    <row r="9" spans="2:6" ht="15.75" customHeight="1" x14ac:dyDescent="0.2">
      <c r="B9" s="92" t="s">
        <v>4</v>
      </c>
      <c r="C9" s="92"/>
      <c r="D9" s="92"/>
      <c r="E9" s="92"/>
      <c r="F9" s="92"/>
    </row>
    <row r="10" spans="2:6" ht="15.75" customHeight="1" x14ac:dyDescent="0.2">
      <c r="B10" s="92" t="s">
        <v>5</v>
      </c>
      <c r="C10" s="92"/>
      <c r="D10" s="92"/>
      <c r="E10" s="92"/>
      <c r="F10" s="92"/>
    </row>
    <row r="12" spans="2:6" ht="18" customHeight="1" x14ac:dyDescent="0.2">
      <c r="B12" s="90" t="s">
        <v>6</v>
      </c>
      <c r="C12" s="90"/>
      <c r="D12" s="90"/>
      <c r="E12" s="90"/>
      <c r="F12" s="90"/>
    </row>
    <row r="13" spans="2:6" ht="15.75" customHeight="1" x14ac:dyDescent="0.2">
      <c r="B13" s="4" t="s">
        <v>7</v>
      </c>
      <c r="C13" s="5">
        <f>Returns!C34</f>
        <v>7.2321666714781241E-2</v>
      </c>
      <c r="E13" s="4" t="s">
        <v>8</v>
      </c>
      <c r="F13" s="6">
        <f>Debt!C39</f>
        <v>1.3723360557670479</v>
      </c>
    </row>
    <row r="14" spans="2:6" ht="15.75" customHeight="1" x14ac:dyDescent="0.2">
      <c r="B14" s="4" t="s">
        <v>9</v>
      </c>
      <c r="C14" s="5">
        <f>Returns!C41</f>
        <v>0.10736353218676564</v>
      </c>
      <c r="E14" s="4" t="s">
        <v>10</v>
      </c>
      <c r="F14" s="6">
        <f>Debt!C40</f>
        <v>1.6189126698922716</v>
      </c>
    </row>
    <row r="15" spans="2:6" ht="15.75" customHeight="1" x14ac:dyDescent="0.2">
      <c r="B15" s="4" t="s">
        <v>11</v>
      </c>
      <c r="C15" s="7">
        <f>Returns!C43</f>
        <v>3.366649953360572</v>
      </c>
      <c r="E15" s="4" t="s">
        <v>12</v>
      </c>
      <c r="F15" s="6">
        <f>Returns!C27</f>
        <v>1.6087552529818236</v>
      </c>
    </row>
    <row r="16" spans="2:6" ht="15.75" customHeight="1" x14ac:dyDescent="0.2">
      <c r="B16" s="4" t="s">
        <v>13</v>
      </c>
      <c r="C16" s="8" t="str">
        <f>Returns!C45</f>
        <v>Year 11</v>
      </c>
      <c r="E16" s="4" t="s">
        <v>14</v>
      </c>
      <c r="F16" s="9">
        <f>Debt!C22</f>
        <v>30.75</v>
      </c>
    </row>
    <row r="17" spans="2:6" ht="15.75" customHeight="1" x14ac:dyDescent="0.2">
      <c r="B17" s="4" t="s">
        <v>15</v>
      </c>
      <c r="C17" s="10">
        <f>Inputs!C18</f>
        <v>0.75</v>
      </c>
      <c r="E17" s="4" t="s">
        <v>16</v>
      </c>
      <c r="F17" s="9">
        <f>Construction!C42</f>
        <v>12.894554916335812</v>
      </c>
    </row>
    <row r="18" spans="2:6" ht="15.75" customHeight="1" x14ac:dyDescent="0.2">
      <c r="E18" s="4" t="s">
        <v>17</v>
      </c>
      <c r="F18" s="8" t="str">
        <f>Debt!C23</f>
        <v>Gearing-based</v>
      </c>
    </row>
    <row r="20" spans="2:6" ht="18" customHeight="1" x14ac:dyDescent="0.2">
      <c r="B20" s="90" t="s">
        <v>18</v>
      </c>
      <c r="C20" s="90"/>
      <c r="D20" s="90"/>
      <c r="E20" s="90"/>
      <c r="F20" s="90"/>
    </row>
    <row r="21" spans="2:6" ht="15.75" customHeight="1" x14ac:dyDescent="0.2">
      <c r="B21" s="93" t="str">
        <f>Checks!C7</f>
        <v>ALL CHECKS PASS</v>
      </c>
      <c r="C21" s="93"/>
      <c r="E21" s="94"/>
      <c r="F21" s="94"/>
    </row>
    <row r="23" spans="2:6" ht="18" customHeight="1" x14ac:dyDescent="0.2">
      <c r="B23" s="90" t="s">
        <v>19</v>
      </c>
      <c r="C23" s="90"/>
      <c r="D23" s="90"/>
      <c r="E23" s="90"/>
      <c r="F23" s="90"/>
    </row>
    <row r="24" spans="2:6" ht="15.75" customHeight="1" x14ac:dyDescent="0.2">
      <c r="B24" s="89" t="s">
        <v>20</v>
      </c>
      <c r="C24" s="89"/>
      <c r="D24" s="89"/>
      <c r="E24" s="89"/>
      <c r="F24" s="89"/>
    </row>
    <row r="25" spans="2:6" ht="15.75" customHeight="1" x14ac:dyDescent="0.2">
      <c r="B25" s="89" t="s">
        <v>21</v>
      </c>
      <c r="C25" s="89"/>
      <c r="D25" s="89"/>
      <c r="E25" s="89"/>
      <c r="F25" s="89"/>
    </row>
    <row r="26" spans="2:6" ht="15.75" customHeight="1" x14ac:dyDescent="0.2">
      <c r="B26" s="89" t="s">
        <v>22</v>
      </c>
      <c r="C26" s="89"/>
      <c r="D26" s="89"/>
      <c r="E26" s="89"/>
      <c r="F26" s="89"/>
    </row>
    <row r="27" spans="2:6" ht="15.75" customHeight="1" x14ac:dyDescent="0.2">
      <c r="B27" s="89" t="s">
        <v>23</v>
      </c>
      <c r="C27" s="89"/>
      <c r="D27" s="89"/>
      <c r="E27" s="89"/>
      <c r="F27" s="89"/>
    </row>
    <row r="28" spans="2:6" ht="15.75" customHeight="1" x14ac:dyDescent="0.2">
      <c r="B28" s="89" t="s">
        <v>24</v>
      </c>
      <c r="C28" s="89"/>
      <c r="D28" s="89"/>
      <c r="E28" s="89"/>
      <c r="F28" s="89"/>
    </row>
    <row r="29" spans="2:6" ht="15.75" customHeight="1" x14ac:dyDescent="0.2">
      <c r="B29" s="89" t="s">
        <v>25</v>
      </c>
      <c r="C29" s="89"/>
      <c r="D29" s="89"/>
      <c r="E29" s="89"/>
      <c r="F29" s="89"/>
    </row>
    <row r="31" spans="2:6" ht="18" customHeight="1" x14ac:dyDescent="0.2">
      <c r="B31" s="90" t="s">
        <v>26</v>
      </c>
      <c r="C31" s="90"/>
      <c r="D31" s="90"/>
      <c r="E31" s="90"/>
      <c r="F31" s="90"/>
    </row>
    <row r="32" spans="2:6" ht="15.75" customHeight="1" x14ac:dyDescent="0.2">
      <c r="B32" s="1" t="s">
        <v>27</v>
      </c>
      <c r="C32" s="1" t="s">
        <v>28</v>
      </c>
      <c r="D32" s="11"/>
      <c r="E32" s="91" t="s">
        <v>29</v>
      </c>
      <c r="F32" s="91"/>
    </row>
    <row r="33" spans="2:6" ht="15.75" customHeight="1" x14ac:dyDescent="0.2">
      <c r="B33" s="12" t="s">
        <v>30</v>
      </c>
      <c r="C33" s="13" t="s">
        <v>31</v>
      </c>
      <c r="E33" s="86" t="s">
        <v>32</v>
      </c>
      <c r="F33" s="86"/>
    </row>
    <row r="34" spans="2:6" ht="15.75" customHeight="1" x14ac:dyDescent="0.2">
      <c r="B34" s="14" t="s">
        <v>33</v>
      </c>
      <c r="C34" s="15" t="s">
        <v>34</v>
      </c>
      <c r="E34" s="88" t="s">
        <v>35</v>
      </c>
      <c r="F34" s="88"/>
    </row>
    <row r="35" spans="2:6" ht="15.75" customHeight="1" x14ac:dyDescent="0.2">
      <c r="B35" s="12" t="s">
        <v>36</v>
      </c>
      <c r="C35" s="13" t="s">
        <v>37</v>
      </c>
      <c r="E35" s="86" t="s">
        <v>38</v>
      </c>
      <c r="F35" s="86"/>
    </row>
    <row r="36" spans="2:6" ht="15.75" customHeight="1" x14ac:dyDescent="0.2">
      <c r="B36" s="14" t="s">
        <v>39</v>
      </c>
      <c r="C36" s="15" t="s">
        <v>40</v>
      </c>
      <c r="E36" s="88" t="s">
        <v>41</v>
      </c>
      <c r="F36" s="88"/>
    </row>
    <row r="37" spans="2:6" ht="15.75" customHeight="1" x14ac:dyDescent="0.2">
      <c r="B37" s="12" t="s">
        <v>42</v>
      </c>
      <c r="C37" s="13" t="s">
        <v>43</v>
      </c>
      <c r="E37" s="86" t="s">
        <v>44</v>
      </c>
      <c r="F37" s="86"/>
    </row>
    <row r="38" spans="2:6" ht="15.75" customHeight="1" x14ac:dyDescent="0.2">
      <c r="B38" s="14" t="s">
        <v>45</v>
      </c>
      <c r="C38" s="15" t="s">
        <v>46</v>
      </c>
      <c r="E38" s="88" t="s">
        <v>47</v>
      </c>
      <c r="F38" s="88"/>
    </row>
    <row r="39" spans="2:6" ht="15.75" customHeight="1" x14ac:dyDescent="0.2">
      <c r="B39" s="12" t="s">
        <v>48</v>
      </c>
      <c r="C39" s="13" t="s">
        <v>49</v>
      </c>
      <c r="E39" s="86" t="s">
        <v>50</v>
      </c>
      <c r="F39" s="86"/>
    </row>
    <row r="41" spans="2:6" ht="15.75" customHeight="1" x14ac:dyDescent="0.2">
      <c r="B41" s="87" t="s">
        <v>233</v>
      </c>
      <c r="C41" s="87"/>
      <c r="D41" s="87"/>
      <c r="E41" s="87"/>
      <c r="F41" s="87"/>
    </row>
  </sheetData>
  <mergeCells count="28">
    <mergeCell ref="B2:F2"/>
    <mergeCell ref="B3:F3"/>
    <mergeCell ref="B6:F6"/>
    <mergeCell ref="B7:F7"/>
    <mergeCell ref="B8:F8"/>
    <mergeCell ref="B9:F9"/>
    <mergeCell ref="B10:F10"/>
    <mergeCell ref="B12:F12"/>
    <mergeCell ref="B20:F20"/>
    <mergeCell ref="B21:C21"/>
    <mergeCell ref="E21:F21"/>
    <mergeCell ref="B23:F23"/>
    <mergeCell ref="B24:F24"/>
    <mergeCell ref="B25:F25"/>
    <mergeCell ref="B26:F26"/>
    <mergeCell ref="B27:F27"/>
    <mergeCell ref="B28:F28"/>
    <mergeCell ref="B29:F29"/>
    <mergeCell ref="B31:F31"/>
    <mergeCell ref="E32:F32"/>
    <mergeCell ref="E33:F33"/>
    <mergeCell ref="E39:F39"/>
    <mergeCell ref="B41:F41"/>
    <mergeCell ref="E34:F34"/>
    <mergeCell ref="E35:F35"/>
    <mergeCell ref="E36:F36"/>
    <mergeCell ref="E37:F37"/>
    <mergeCell ref="E38:F38"/>
  </mergeCells>
  <conditionalFormatting sqref="B21">
    <cfRule type="expression" dxfId="4" priority="2">
      <formula>ISNUMBER(SEARCH("FAIL",B21))</formula>
    </cfRule>
  </conditionalFormatting>
  <pageMargins left="0.25" right="0.25" top="0.75" bottom="0.75" header="0.3" footer="0.3"/>
  <pageSetup paperSize="9" scale="85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7"/>
  <sheetViews>
    <sheetView showGridLines="0" zoomScale="120" zoomScaleNormal="120" workbookViewId="0">
      <selection activeCell="D19" sqref="D19"/>
    </sheetView>
  </sheetViews>
  <sheetFormatPr baseColWidth="10" defaultColWidth="10.5" defaultRowHeight="16" x14ac:dyDescent="0.2"/>
  <cols>
    <col min="1" max="1" width="3" customWidth="1"/>
    <col min="2" max="2" width="34" customWidth="1"/>
    <col min="3" max="3" width="14" customWidth="1"/>
    <col min="4" max="4" width="40" customWidth="1"/>
  </cols>
  <sheetData>
    <row r="2" spans="2:4" ht="17.25" customHeight="1" x14ac:dyDescent="0.25">
      <c r="B2" s="16" t="s">
        <v>51</v>
      </c>
    </row>
    <row r="4" spans="2:4" ht="15.75" customHeight="1" x14ac:dyDescent="0.2">
      <c r="B4" s="17" t="s">
        <v>52</v>
      </c>
      <c r="C4" s="18">
        <v>2</v>
      </c>
      <c r="D4" s="19"/>
    </row>
    <row r="5" spans="2:4" ht="15.75" customHeight="1" x14ac:dyDescent="0.2">
      <c r="B5" s="17" t="s">
        <v>53</v>
      </c>
      <c r="C5" s="18">
        <v>50</v>
      </c>
      <c r="D5" s="19"/>
    </row>
    <row r="6" spans="2:4" ht="15.75" customHeight="1" x14ac:dyDescent="0.2">
      <c r="B6" s="17" t="s">
        <v>54</v>
      </c>
      <c r="C6" s="18">
        <v>40</v>
      </c>
      <c r="D6" s="19"/>
    </row>
    <row r="7" spans="2:4" ht="15.75" customHeight="1" x14ac:dyDescent="0.2">
      <c r="B7" s="17" t="s">
        <v>55</v>
      </c>
      <c r="C7" s="18">
        <v>36</v>
      </c>
      <c r="D7" s="19"/>
    </row>
    <row r="9" spans="2:4" ht="15.75" customHeight="1" x14ac:dyDescent="0.2">
      <c r="B9" s="17" t="s">
        <v>56</v>
      </c>
      <c r="C9" s="18">
        <v>50000</v>
      </c>
      <c r="D9" s="19"/>
    </row>
    <row r="10" spans="2:4" ht="15.75" customHeight="1" x14ac:dyDescent="0.2">
      <c r="B10" s="17" t="s">
        <v>57</v>
      </c>
      <c r="C10" s="18">
        <v>1402</v>
      </c>
      <c r="D10" s="19"/>
    </row>
    <row r="11" spans="2:4" ht="15.75" customHeight="1" x14ac:dyDescent="0.2">
      <c r="B11" s="17" t="s">
        <v>58</v>
      </c>
      <c r="C11" s="20">
        <v>5.0000000000000001E-3</v>
      </c>
      <c r="D11" s="19"/>
    </row>
    <row r="12" spans="2:4" ht="15.75" customHeight="1" x14ac:dyDescent="0.2">
      <c r="B12" s="17" t="s">
        <v>59</v>
      </c>
      <c r="C12" s="20">
        <v>0.98499999999999999</v>
      </c>
      <c r="D12" s="19"/>
    </row>
    <row r="13" spans="2:4" ht="15.75" customHeight="1" x14ac:dyDescent="0.2">
      <c r="B13" s="17" t="s">
        <v>60</v>
      </c>
      <c r="C13" s="21">
        <v>820</v>
      </c>
      <c r="D13" s="19"/>
    </row>
    <row r="14" spans="2:4" ht="15.75" customHeight="1" x14ac:dyDescent="0.2">
      <c r="B14" s="17" t="s">
        <v>61</v>
      </c>
      <c r="C14" s="21">
        <v>16</v>
      </c>
      <c r="D14" s="19"/>
    </row>
    <row r="15" spans="2:4" ht="15.75" customHeight="1" x14ac:dyDescent="0.2">
      <c r="B15" s="17" t="s">
        <v>62</v>
      </c>
      <c r="C15" s="21">
        <v>79</v>
      </c>
      <c r="D15" s="19"/>
    </row>
    <row r="16" spans="2:4" ht="15.75" customHeight="1" x14ac:dyDescent="0.2">
      <c r="B16" s="17" t="s">
        <v>63</v>
      </c>
      <c r="C16" s="21">
        <v>55</v>
      </c>
      <c r="D16" s="19"/>
    </row>
    <row r="17" spans="2:4" ht="15.75" customHeight="1" x14ac:dyDescent="0.2">
      <c r="B17" s="17" t="s">
        <v>64</v>
      </c>
      <c r="C17" s="22">
        <v>25</v>
      </c>
      <c r="D17" s="19"/>
    </row>
    <row r="18" spans="2:4" ht="15.75" customHeight="1" x14ac:dyDescent="0.2">
      <c r="B18" s="17" t="s">
        <v>65</v>
      </c>
      <c r="C18" s="23">
        <v>0.75</v>
      </c>
      <c r="D18" s="19" t="s">
        <v>66</v>
      </c>
    </row>
    <row r="19" spans="2:4" ht="15.75" customHeight="1" x14ac:dyDescent="0.2">
      <c r="B19" s="17" t="s">
        <v>67</v>
      </c>
      <c r="C19" s="24">
        <v>1.55</v>
      </c>
      <c r="D19" s="19"/>
    </row>
    <row r="20" spans="2:4" ht="15.75" customHeight="1" x14ac:dyDescent="0.2">
      <c r="B20" s="17" t="s">
        <v>68</v>
      </c>
      <c r="C20" s="24">
        <v>1.6</v>
      </c>
      <c r="D20" s="19"/>
    </row>
    <row r="21" spans="2:4" ht="15.75" customHeight="1" x14ac:dyDescent="0.2">
      <c r="B21" s="17" t="s">
        <v>69</v>
      </c>
      <c r="C21" s="20">
        <v>4.7500000000000001E-2</v>
      </c>
      <c r="D21" s="19"/>
    </row>
    <row r="22" spans="2:4" ht="15.75" customHeight="1" x14ac:dyDescent="0.2">
      <c r="B22" s="17" t="s">
        <v>70</v>
      </c>
      <c r="C22" s="18">
        <v>6</v>
      </c>
      <c r="D22" s="19"/>
    </row>
    <row r="23" spans="2:4" ht="15.75" customHeight="1" x14ac:dyDescent="0.2">
      <c r="B23" s="17" t="s">
        <v>71</v>
      </c>
      <c r="C23" s="23">
        <v>0.25</v>
      </c>
      <c r="D23" s="19"/>
    </row>
    <row r="24" spans="2:4" ht="15.75" customHeight="1" x14ac:dyDescent="0.2">
      <c r="B24" s="17" t="s">
        <v>72</v>
      </c>
      <c r="C24" s="18">
        <v>20</v>
      </c>
      <c r="D24" s="19"/>
    </row>
    <row r="25" spans="2:4" ht="15.75" customHeight="1" x14ac:dyDescent="0.2">
      <c r="B25" s="17" t="s">
        <v>73</v>
      </c>
      <c r="C25" s="25">
        <f>C24*2</f>
        <v>40</v>
      </c>
      <c r="D25" s="19"/>
    </row>
    <row r="26" spans="2:4" ht="15.75" customHeight="1" x14ac:dyDescent="0.2">
      <c r="B26" s="17" t="s">
        <v>74</v>
      </c>
      <c r="C26" s="18">
        <v>52</v>
      </c>
      <c r="D26" s="19"/>
    </row>
    <row r="27" spans="2:4" ht="15.75" customHeight="1" x14ac:dyDescent="0.2">
      <c r="B27" s="17" t="s">
        <v>75</v>
      </c>
      <c r="C27" s="23">
        <v>0.02</v>
      </c>
      <c r="D27" s="1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BD18"/>
  <sheetViews>
    <sheetView showGridLines="0" zoomScale="120" zoomScaleNormal="12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10" defaultColWidth="10.5" defaultRowHeight="16" x14ac:dyDescent="0.2"/>
  <cols>
    <col min="1" max="1" width="3" customWidth="1"/>
    <col min="2" max="2" width="40" customWidth="1"/>
    <col min="3" max="3" width="12" customWidth="1"/>
    <col min="4" max="4" width="11" customWidth="1"/>
    <col min="5" max="56" width="9.5" customWidth="1"/>
  </cols>
  <sheetData>
    <row r="2" spans="1:56" ht="17.25" customHeight="1" x14ac:dyDescent="0.25">
      <c r="B2" s="16" t="s">
        <v>76</v>
      </c>
    </row>
    <row r="4" spans="1:56" ht="15.75" customHeight="1" x14ac:dyDescent="0.2">
      <c r="A4" s="26"/>
      <c r="B4" s="27" t="s">
        <v>77</v>
      </c>
      <c r="C4" s="28"/>
      <c r="D4" s="28"/>
      <c r="E4" s="28">
        <v>1</v>
      </c>
      <c r="F4" s="28">
        <f t="shared" ref="F4:AK4" si="0">E4+1</f>
        <v>2</v>
      </c>
      <c r="G4" s="28">
        <f t="shared" si="0"/>
        <v>3</v>
      </c>
      <c r="H4" s="28">
        <f t="shared" si="0"/>
        <v>4</v>
      </c>
      <c r="I4" s="28">
        <f t="shared" si="0"/>
        <v>5</v>
      </c>
      <c r="J4" s="28">
        <f t="shared" si="0"/>
        <v>6</v>
      </c>
      <c r="K4" s="28">
        <f t="shared" si="0"/>
        <v>7</v>
      </c>
      <c r="L4" s="28">
        <f t="shared" si="0"/>
        <v>8</v>
      </c>
      <c r="M4" s="28">
        <f t="shared" si="0"/>
        <v>9</v>
      </c>
      <c r="N4" s="28">
        <f t="shared" si="0"/>
        <v>10</v>
      </c>
      <c r="O4" s="28">
        <f t="shared" si="0"/>
        <v>11</v>
      </c>
      <c r="P4" s="28">
        <f t="shared" si="0"/>
        <v>12</v>
      </c>
      <c r="Q4" s="28">
        <f t="shared" si="0"/>
        <v>13</v>
      </c>
      <c r="R4" s="28">
        <f t="shared" si="0"/>
        <v>14</v>
      </c>
      <c r="S4" s="28">
        <f t="shared" si="0"/>
        <v>15</v>
      </c>
      <c r="T4" s="28">
        <f t="shared" si="0"/>
        <v>16</v>
      </c>
      <c r="U4" s="28">
        <f t="shared" si="0"/>
        <v>17</v>
      </c>
      <c r="V4" s="28">
        <f t="shared" si="0"/>
        <v>18</v>
      </c>
      <c r="W4" s="28">
        <f t="shared" si="0"/>
        <v>19</v>
      </c>
      <c r="X4" s="28">
        <f t="shared" si="0"/>
        <v>20</v>
      </c>
      <c r="Y4" s="28">
        <f t="shared" si="0"/>
        <v>21</v>
      </c>
      <c r="Z4" s="28">
        <f t="shared" si="0"/>
        <v>22</v>
      </c>
      <c r="AA4" s="28">
        <f t="shared" si="0"/>
        <v>23</v>
      </c>
      <c r="AB4" s="28">
        <f t="shared" si="0"/>
        <v>24</v>
      </c>
      <c r="AC4" s="28">
        <f t="shared" si="0"/>
        <v>25</v>
      </c>
      <c r="AD4" s="28">
        <f t="shared" si="0"/>
        <v>26</v>
      </c>
      <c r="AE4" s="28">
        <f t="shared" si="0"/>
        <v>27</v>
      </c>
      <c r="AF4" s="28">
        <f t="shared" si="0"/>
        <v>28</v>
      </c>
      <c r="AG4" s="28">
        <f t="shared" si="0"/>
        <v>29</v>
      </c>
      <c r="AH4" s="28">
        <f t="shared" si="0"/>
        <v>30</v>
      </c>
      <c r="AI4" s="28">
        <f t="shared" si="0"/>
        <v>31</v>
      </c>
      <c r="AJ4" s="28">
        <f t="shared" si="0"/>
        <v>32</v>
      </c>
      <c r="AK4" s="28">
        <f t="shared" si="0"/>
        <v>33</v>
      </c>
      <c r="AL4" s="28">
        <f t="shared" ref="AL4:BD4" si="1">AK4+1</f>
        <v>34</v>
      </c>
      <c r="AM4" s="28">
        <f t="shared" si="1"/>
        <v>35</v>
      </c>
      <c r="AN4" s="28">
        <f t="shared" si="1"/>
        <v>36</v>
      </c>
      <c r="AO4" s="28">
        <f t="shared" si="1"/>
        <v>37</v>
      </c>
      <c r="AP4" s="28">
        <f t="shared" si="1"/>
        <v>38</v>
      </c>
      <c r="AQ4" s="28">
        <f t="shared" si="1"/>
        <v>39</v>
      </c>
      <c r="AR4" s="28">
        <f t="shared" si="1"/>
        <v>40</v>
      </c>
      <c r="AS4" s="28">
        <f t="shared" si="1"/>
        <v>41</v>
      </c>
      <c r="AT4" s="28">
        <f t="shared" si="1"/>
        <v>42</v>
      </c>
      <c r="AU4" s="28">
        <f t="shared" si="1"/>
        <v>43</v>
      </c>
      <c r="AV4" s="28">
        <f t="shared" si="1"/>
        <v>44</v>
      </c>
      <c r="AW4" s="28">
        <f t="shared" si="1"/>
        <v>45</v>
      </c>
      <c r="AX4" s="28">
        <f t="shared" si="1"/>
        <v>46</v>
      </c>
      <c r="AY4" s="28">
        <f t="shared" si="1"/>
        <v>47</v>
      </c>
      <c r="AZ4" s="28">
        <f t="shared" si="1"/>
        <v>48</v>
      </c>
      <c r="BA4" s="28">
        <f t="shared" si="1"/>
        <v>49</v>
      </c>
      <c r="BB4" s="28">
        <f t="shared" si="1"/>
        <v>50</v>
      </c>
      <c r="BC4" s="28">
        <f t="shared" si="1"/>
        <v>51</v>
      </c>
      <c r="BD4" s="28">
        <f t="shared" si="1"/>
        <v>52</v>
      </c>
    </row>
    <row r="5" spans="1:56" ht="15.75" customHeight="1" x14ac:dyDescent="0.2">
      <c r="A5" s="29"/>
      <c r="B5" s="30" t="s">
        <v>78</v>
      </c>
      <c r="C5" s="29"/>
      <c r="D5" s="31">
        <v>46113</v>
      </c>
      <c r="E5" s="32">
        <f t="shared" ref="E5:AJ5" si="2">EDATE(D5,6)</f>
        <v>46296</v>
      </c>
      <c r="F5" s="32">
        <f t="shared" si="2"/>
        <v>46478</v>
      </c>
      <c r="G5" s="32">
        <f t="shared" si="2"/>
        <v>46661</v>
      </c>
      <c r="H5" s="32">
        <f t="shared" si="2"/>
        <v>46844</v>
      </c>
      <c r="I5" s="32">
        <f t="shared" si="2"/>
        <v>47027</v>
      </c>
      <c r="J5" s="32">
        <f t="shared" si="2"/>
        <v>47209</v>
      </c>
      <c r="K5" s="32">
        <f t="shared" si="2"/>
        <v>47392</v>
      </c>
      <c r="L5" s="32">
        <f t="shared" si="2"/>
        <v>47574</v>
      </c>
      <c r="M5" s="32">
        <f t="shared" si="2"/>
        <v>47757</v>
      </c>
      <c r="N5" s="32">
        <f t="shared" si="2"/>
        <v>47939</v>
      </c>
      <c r="O5" s="32">
        <f t="shared" si="2"/>
        <v>48122</v>
      </c>
      <c r="P5" s="32">
        <f t="shared" si="2"/>
        <v>48305</v>
      </c>
      <c r="Q5" s="32">
        <f t="shared" si="2"/>
        <v>48488</v>
      </c>
      <c r="R5" s="32">
        <f t="shared" si="2"/>
        <v>48670</v>
      </c>
      <c r="S5" s="32">
        <f t="shared" si="2"/>
        <v>48853</v>
      </c>
      <c r="T5" s="32">
        <f t="shared" si="2"/>
        <v>49035</v>
      </c>
      <c r="U5" s="32">
        <f t="shared" si="2"/>
        <v>49218</v>
      </c>
      <c r="V5" s="32">
        <f t="shared" si="2"/>
        <v>49400</v>
      </c>
      <c r="W5" s="32">
        <f t="shared" si="2"/>
        <v>49583</v>
      </c>
      <c r="X5" s="32">
        <f t="shared" si="2"/>
        <v>49766</v>
      </c>
      <c r="Y5" s="32">
        <f t="shared" si="2"/>
        <v>49949</v>
      </c>
      <c r="Z5" s="32">
        <f t="shared" si="2"/>
        <v>50131</v>
      </c>
      <c r="AA5" s="32">
        <f t="shared" si="2"/>
        <v>50314</v>
      </c>
      <c r="AB5" s="32">
        <f t="shared" si="2"/>
        <v>50496</v>
      </c>
      <c r="AC5" s="32">
        <f t="shared" si="2"/>
        <v>50679</v>
      </c>
      <c r="AD5" s="32">
        <f t="shared" si="2"/>
        <v>50861</v>
      </c>
      <c r="AE5" s="32">
        <f t="shared" si="2"/>
        <v>51044</v>
      </c>
      <c r="AF5" s="32">
        <f t="shared" si="2"/>
        <v>51227</v>
      </c>
      <c r="AG5" s="32">
        <f t="shared" si="2"/>
        <v>51410</v>
      </c>
      <c r="AH5" s="32">
        <f t="shared" si="2"/>
        <v>51592</v>
      </c>
      <c r="AI5" s="32">
        <f t="shared" si="2"/>
        <v>51775</v>
      </c>
      <c r="AJ5" s="32">
        <f t="shared" si="2"/>
        <v>51957</v>
      </c>
      <c r="AK5" s="32">
        <f t="shared" ref="AK5:BD5" si="3">EDATE(AJ5,6)</f>
        <v>52140</v>
      </c>
      <c r="AL5" s="32">
        <f t="shared" si="3"/>
        <v>52322</v>
      </c>
      <c r="AM5" s="32">
        <f t="shared" si="3"/>
        <v>52505</v>
      </c>
      <c r="AN5" s="32">
        <f t="shared" si="3"/>
        <v>52688</v>
      </c>
      <c r="AO5" s="32">
        <f t="shared" si="3"/>
        <v>52871</v>
      </c>
      <c r="AP5" s="32">
        <f t="shared" si="3"/>
        <v>53053</v>
      </c>
      <c r="AQ5" s="32">
        <f t="shared" si="3"/>
        <v>53236</v>
      </c>
      <c r="AR5" s="32">
        <f t="shared" si="3"/>
        <v>53418</v>
      </c>
      <c r="AS5" s="32">
        <f t="shared" si="3"/>
        <v>53601</v>
      </c>
      <c r="AT5" s="32">
        <f t="shared" si="3"/>
        <v>53783</v>
      </c>
      <c r="AU5" s="32">
        <f t="shared" si="3"/>
        <v>53966</v>
      </c>
      <c r="AV5" s="32">
        <f t="shared" si="3"/>
        <v>54149</v>
      </c>
      <c r="AW5" s="32">
        <f t="shared" si="3"/>
        <v>54332</v>
      </c>
      <c r="AX5" s="32">
        <f t="shared" si="3"/>
        <v>54514</v>
      </c>
      <c r="AY5" s="32">
        <f t="shared" si="3"/>
        <v>54697</v>
      </c>
      <c r="AZ5" s="32">
        <f t="shared" si="3"/>
        <v>54879</v>
      </c>
      <c r="BA5" s="32">
        <f t="shared" si="3"/>
        <v>55062</v>
      </c>
      <c r="BB5" s="32">
        <f t="shared" si="3"/>
        <v>55244</v>
      </c>
      <c r="BC5" s="32">
        <f t="shared" si="3"/>
        <v>55427</v>
      </c>
      <c r="BD5" s="32">
        <f t="shared" si="3"/>
        <v>55610</v>
      </c>
    </row>
    <row r="6" spans="1:56" ht="15.75" customHeight="1" x14ac:dyDescent="0.2">
      <c r="A6" s="29"/>
      <c r="B6" s="30" t="s">
        <v>79</v>
      </c>
      <c r="C6" s="29"/>
      <c r="D6" s="29"/>
      <c r="E6" s="32">
        <f t="shared" ref="E6:AJ6" si="4">EOMONTH(E5,5)</f>
        <v>46477</v>
      </c>
      <c r="F6" s="32">
        <f t="shared" si="4"/>
        <v>46660</v>
      </c>
      <c r="G6" s="32">
        <f t="shared" si="4"/>
        <v>46843</v>
      </c>
      <c r="H6" s="32">
        <f t="shared" si="4"/>
        <v>47026</v>
      </c>
      <c r="I6" s="32">
        <f t="shared" si="4"/>
        <v>47208</v>
      </c>
      <c r="J6" s="32">
        <f t="shared" si="4"/>
        <v>47391</v>
      </c>
      <c r="K6" s="32">
        <f t="shared" si="4"/>
        <v>47573</v>
      </c>
      <c r="L6" s="32">
        <f t="shared" si="4"/>
        <v>47756</v>
      </c>
      <c r="M6" s="32">
        <f t="shared" si="4"/>
        <v>47938</v>
      </c>
      <c r="N6" s="32">
        <f t="shared" si="4"/>
        <v>48121</v>
      </c>
      <c r="O6" s="32">
        <f t="shared" si="4"/>
        <v>48304</v>
      </c>
      <c r="P6" s="32">
        <f t="shared" si="4"/>
        <v>48487</v>
      </c>
      <c r="Q6" s="32">
        <f t="shared" si="4"/>
        <v>48669</v>
      </c>
      <c r="R6" s="32">
        <f t="shared" si="4"/>
        <v>48852</v>
      </c>
      <c r="S6" s="32">
        <f t="shared" si="4"/>
        <v>49034</v>
      </c>
      <c r="T6" s="32">
        <f t="shared" si="4"/>
        <v>49217</v>
      </c>
      <c r="U6" s="32">
        <f t="shared" si="4"/>
        <v>49399</v>
      </c>
      <c r="V6" s="32">
        <f t="shared" si="4"/>
        <v>49582</v>
      </c>
      <c r="W6" s="32">
        <f t="shared" si="4"/>
        <v>49765</v>
      </c>
      <c r="X6" s="32">
        <f t="shared" si="4"/>
        <v>49948</v>
      </c>
      <c r="Y6" s="32">
        <f t="shared" si="4"/>
        <v>50130</v>
      </c>
      <c r="Z6" s="32">
        <f t="shared" si="4"/>
        <v>50313</v>
      </c>
      <c r="AA6" s="32">
        <f t="shared" si="4"/>
        <v>50495</v>
      </c>
      <c r="AB6" s="32">
        <f t="shared" si="4"/>
        <v>50678</v>
      </c>
      <c r="AC6" s="32">
        <f t="shared" si="4"/>
        <v>50860</v>
      </c>
      <c r="AD6" s="32">
        <f t="shared" si="4"/>
        <v>51043</v>
      </c>
      <c r="AE6" s="32">
        <f t="shared" si="4"/>
        <v>51226</v>
      </c>
      <c r="AF6" s="32">
        <f t="shared" si="4"/>
        <v>51409</v>
      </c>
      <c r="AG6" s="32">
        <f t="shared" si="4"/>
        <v>51591</v>
      </c>
      <c r="AH6" s="32">
        <f t="shared" si="4"/>
        <v>51774</v>
      </c>
      <c r="AI6" s="32">
        <f t="shared" si="4"/>
        <v>51956</v>
      </c>
      <c r="AJ6" s="32">
        <f t="shared" si="4"/>
        <v>52139</v>
      </c>
      <c r="AK6" s="32">
        <f t="shared" ref="AK6:BD6" si="5">EOMONTH(AK5,5)</f>
        <v>52321</v>
      </c>
      <c r="AL6" s="32">
        <f t="shared" si="5"/>
        <v>52504</v>
      </c>
      <c r="AM6" s="32">
        <f t="shared" si="5"/>
        <v>52687</v>
      </c>
      <c r="AN6" s="32">
        <f t="shared" si="5"/>
        <v>52870</v>
      </c>
      <c r="AO6" s="32">
        <f t="shared" si="5"/>
        <v>53052</v>
      </c>
      <c r="AP6" s="32">
        <f t="shared" si="5"/>
        <v>53235</v>
      </c>
      <c r="AQ6" s="32">
        <f t="shared" si="5"/>
        <v>53417</v>
      </c>
      <c r="AR6" s="32">
        <f t="shared" si="5"/>
        <v>53600</v>
      </c>
      <c r="AS6" s="32">
        <f t="shared" si="5"/>
        <v>53782</v>
      </c>
      <c r="AT6" s="32">
        <f t="shared" si="5"/>
        <v>53965</v>
      </c>
      <c r="AU6" s="32">
        <f t="shared" si="5"/>
        <v>54148</v>
      </c>
      <c r="AV6" s="32">
        <f t="shared" si="5"/>
        <v>54331</v>
      </c>
      <c r="AW6" s="32">
        <f t="shared" si="5"/>
        <v>54513</v>
      </c>
      <c r="AX6" s="32">
        <f t="shared" si="5"/>
        <v>54696</v>
      </c>
      <c r="AY6" s="32">
        <f t="shared" si="5"/>
        <v>54878</v>
      </c>
      <c r="AZ6" s="32">
        <f t="shared" si="5"/>
        <v>55061</v>
      </c>
      <c r="BA6" s="32">
        <f t="shared" si="5"/>
        <v>55243</v>
      </c>
      <c r="BB6" s="32">
        <f t="shared" si="5"/>
        <v>55426</v>
      </c>
      <c r="BC6" s="32">
        <f t="shared" si="5"/>
        <v>55609</v>
      </c>
      <c r="BD6" s="32">
        <f t="shared" si="5"/>
        <v>55792</v>
      </c>
    </row>
    <row r="7" spans="1:56" ht="15.75" customHeight="1" x14ac:dyDescent="0.2">
      <c r="A7" s="29"/>
      <c r="B7" s="30" t="s">
        <v>80</v>
      </c>
      <c r="C7" s="29"/>
      <c r="D7" s="29"/>
      <c r="E7" s="29">
        <f t="shared" ref="E7:AJ7" si="6">E6-E5+1</f>
        <v>182</v>
      </c>
      <c r="F7" s="29">
        <f t="shared" si="6"/>
        <v>183</v>
      </c>
      <c r="G7" s="29">
        <f t="shared" si="6"/>
        <v>183</v>
      </c>
      <c r="H7" s="29">
        <f t="shared" si="6"/>
        <v>183</v>
      </c>
      <c r="I7" s="29">
        <f t="shared" si="6"/>
        <v>182</v>
      </c>
      <c r="J7" s="29">
        <f t="shared" si="6"/>
        <v>183</v>
      </c>
      <c r="K7" s="29">
        <f t="shared" si="6"/>
        <v>182</v>
      </c>
      <c r="L7" s="29">
        <f t="shared" si="6"/>
        <v>183</v>
      </c>
      <c r="M7" s="29">
        <f t="shared" si="6"/>
        <v>182</v>
      </c>
      <c r="N7" s="29">
        <f t="shared" si="6"/>
        <v>183</v>
      </c>
      <c r="O7" s="29">
        <f t="shared" si="6"/>
        <v>183</v>
      </c>
      <c r="P7" s="29">
        <f t="shared" si="6"/>
        <v>183</v>
      </c>
      <c r="Q7" s="29">
        <f t="shared" si="6"/>
        <v>182</v>
      </c>
      <c r="R7" s="29">
        <f t="shared" si="6"/>
        <v>183</v>
      </c>
      <c r="S7" s="29">
        <f t="shared" si="6"/>
        <v>182</v>
      </c>
      <c r="T7" s="29">
        <f t="shared" si="6"/>
        <v>183</v>
      </c>
      <c r="U7" s="29">
        <f t="shared" si="6"/>
        <v>182</v>
      </c>
      <c r="V7" s="29">
        <f t="shared" si="6"/>
        <v>183</v>
      </c>
      <c r="W7" s="29">
        <f t="shared" si="6"/>
        <v>183</v>
      </c>
      <c r="X7" s="29">
        <f t="shared" si="6"/>
        <v>183</v>
      </c>
      <c r="Y7" s="29">
        <f t="shared" si="6"/>
        <v>182</v>
      </c>
      <c r="Z7" s="29">
        <f t="shared" si="6"/>
        <v>183</v>
      </c>
      <c r="AA7" s="29">
        <f t="shared" si="6"/>
        <v>182</v>
      </c>
      <c r="AB7" s="29">
        <f t="shared" si="6"/>
        <v>183</v>
      </c>
      <c r="AC7" s="29">
        <f t="shared" si="6"/>
        <v>182</v>
      </c>
      <c r="AD7" s="29">
        <f t="shared" si="6"/>
        <v>183</v>
      </c>
      <c r="AE7" s="29">
        <f t="shared" si="6"/>
        <v>183</v>
      </c>
      <c r="AF7" s="29">
        <f t="shared" si="6"/>
        <v>183</v>
      </c>
      <c r="AG7" s="29">
        <f t="shared" si="6"/>
        <v>182</v>
      </c>
      <c r="AH7" s="29">
        <f t="shared" si="6"/>
        <v>183</v>
      </c>
      <c r="AI7" s="29">
        <f t="shared" si="6"/>
        <v>182</v>
      </c>
      <c r="AJ7" s="29">
        <f t="shared" si="6"/>
        <v>183</v>
      </c>
      <c r="AK7" s="29">
        <f t="shared" ref="AK7:BD7" si="7">AK6-AK5+1</f>
        <v>182</v>
      </c>
      <c r="AL7" s="29">
        <f t="shared" si="7"/>
        <v>183</v>
      </c>
      <c r="AM7" s="29">
        <f t="shared" si="7"/>
        <v>183</v>
      </c>
      <c r="AN7" s="29">
        <f t="shared" si="7"/>
        <v>183</v>
      </c>
      <c r="AO7" s="29">
        <f t="shared" si="7"/>
        <v>182</v>
      </c>
      <c r="AP7" s="29">
        <f t="shared" si="7"/>
        <v>183</v>
      </c>
      <c r="AQ7" s="29">
        <f t="shared" si="7"/>
        <v>182</v>
      </c>
      <c r="AR7" s="29">
        <f t="shared" si="7"/>
        <v>183</v>
      </c>
      <c r="AS7" s="29">
        <f t="shared" si="7"/>
        <v>182</v>
      </c>
      <c r="AT7" s="29">
        <f t="shared" si="7"/>
        <v>183</v>
      </c>
      <c r="AU7" s="29">
        <f t="shared" si="7"/>
        <v>183</v>
      </c>
      <c r="AV7" s="29">
        <f t="shared" si="7"/>
        <v>183</v>
      </c>
      <c r="AW7" s="29">
        <f t="shared" si="7"/>
        <v>182</v>
      </c>
      <c r="AX7" s="29">
        <f t="shared" si="7"/>
        <v>183</v>
      </c>
      <c r="AY7" s="29">
        <f t="shared" si="7"/>
        <v>182</v>
      </c>
      <c r="AZ7" s="29">
        <f t="shared" si="7"/>
        <v>183</v>
      </c>
      <c r="BA7" s="29">
        <f t="shared" si="7"/>
        <v>182</v>
      </c>
      <c r="BB7" s="29">
        <f t="shared" si="7"/>
        <v>183</v>
      </c>
      <c r="BC7" s="29">
        <f t="shared" si="7"/>
        <v>183</v>
      </c>
      <c r="BD7" s="29">
        <f t="shared" si="7"/>
        <v>183</v>
      </c>
    </row>
    <row r="8" spans="1:56" ht="15.75" customHeight="1" x14ac:dyDescent="0.2">
      <c r="A8" s="29"/>
      <c r="B8" s="30" t="s">
        <v>81</v>
      </c>
      <c r="C8" s="29"/>
      <c r="D8" s="29"/>
      <c r="E8" s="33">
        <f t="shared" ref="E8:AJ8" si="8">E7/365</f>
        <v>0.49863013698630138</v>
      </c>
      <c r="F8" s="33">
        <f t="shared" si="8"/>
        <v>0.50136986301369868</v>
      </c>
      <c r="G8" s="33">
        <f t="shared" si="8"/>
        <v>0.50136986301369868</v>
      </c>
      <c r="H8" s="33">
        <f t="shared" si="8"/>
        <v>0.50136986301369868</v>
      </c>
      <c r="I8" s="33">
        <f t="shared" si="8"/>
        <v>0.49863013698630138</v>
      </c>
      <c r="J8" s="33">
        <f t="shared" si="8"/>
        <v>0.50136986301369868</v>
      </c>
      <c r="K8" s="33">
        <f t="shared" si="8"/>
        <v>0.49863013698630138</v>
      </c>
      <c r="L8" s="33">
        <f t="shared" si="8"/>
        <v>0.50136986301369868</v>
      </c>
      <c r="M8" s="33">
        <f t="shared" si="8"/>
        <v>0.49863013698630138</v>
      </c>
      <c r="N8" s="33">
        <f t="shared" si="8"/>
        <v>0.50136986301369868</v>
      </c>
      <c r="O8" s="33">
        <f t="shared" si="8"/>
        <v>0.50136986301369868</v>
      </c>
      <c r="P8" s="33">
        <f t="shared" si="8"/>
        <v>0.50136986301369868</v>
      </c>
      <c r="Q8" s="33">
        <f t="shared" si="8"/>
        <v>0.49863013698630138</v>
      </c>
      <c r="R8" s="33">
        <f t="shared" si="8"/>
        <v>0.50136986301369868</v>
      </c>
      <c r="S8" s="33">
        <f t="shared" si="8"/>
        <v>0.49863013698630138</v>
      </c>
      <c r="T8" s="33">
        <f t="shared" si="8"/>
        <v>0.50136986301369868</v>
      </c>
      <c r="U8" s="33">
        <f t="shared" si="8"/>
        <v>0.49863013698630138</v>
      </c>
      <c r="V8" s="33">
        <f t="shared" si="8"/>
        <v>0.50136986301369868</v>
      </c>
      <c r="W8" s="33">
        <f t="shared" si="8"/>
        <v>0.50136986301369868</v>
      </c>
      <c r="X8" s="33">
        <f t="shared" si="8"/>
        <v>0.50136986301369868</v>
      </c>
      <c r="Y8" s="33">
        <f t="shared" si="8"/>
        <v>0.49863013698630138</v>
      </c>
      <c r="Z8" s="33">
        <f t="shared" si="8"/>
        <v>0.50136986301369868</v>
      </c>
      <c r="AA8" s="33">
        <f t="shared" si="8"/>
        <v>0.49863013698630138</v>
      </c>
      <c r="AB8" s="33">
        <f t="shared" si="8"/>
        <v>0.50136986301369868</v>
      </c>
      <c r="AC8" s="33">
        <f t="shared" si="8"/>
        <v>0.49863013698630138</v>
      </c>
      <c r="AD8" s="33">
        <f t="shared" si="8"/>
        <v>0.50136986301369868</v>
      </c>
      <c r="AE8" s="33">
        <f t="shared" si="8"/>
        <v>0.50136986301369868</v>
      </c>
      <c r="AF8" s="33">
        <f t="shared" si="8"/>
        <v>0.50136986301369868</v>
      </c>
      <c r="AG8" s="33">
        <f t="shared" si="8"/>
        <v>0.49863013698630138</v>
      </c>
      <c r="AH8" s="33">
        <f t="shared" si="8"/>
        <v>0.50136986301369868</v>
      </c>
      <c r="AI8" s="33">
        <f t="shared" si="8"/>
        <v>0.49863013698630138</v>
      </c>
      <c r="AJ8" s="33">
        <f t="shared" si="8"/>
        <v>0.50136986301369868</v>
      </c>
      <c r="AK8" s="33">
        <f t="shared" ref="AK8:BD8" si="9">AK7/365</f>
        <v>0.49863013698630138</v>
      </c>
      <c r="AL8" s="33">
        <f t="shared" si="9"/>
        <v>0.50136986301369868</v>
      </c>
      <c r="AM8" s="33">
        <f t="shared" si="9"/>
        <v>0.50136986301369868</v>
      </c>
      <c r="AN8" s="33">
        <f t="shared" si="9"/>
        <v>0.50136986301369868</v>
      </c>
      <c r="AO8" s="33">
        <f t="shared" si="9"/>
        <v>0.49863013698630138</v>
      </c>
      <c r="AP8" s="33">
        <f t="shared" si="9"/>
        <v>0.50136986301369868</v>
      </c>
      <c r="AQ8" s="33">
        <f t="shared" si="9"/>
        <v>0.49863013698630138</v>
      </c>
      <c r="AR8" s="33">
        <f t="shared" si="9"/>
        <v>0.50136986301369868</v>
      </c>
      <c r="AS8" s="33">
        <f t="shared" si="9"/>
        <v>0.49863013698630138</v>
      </c>
      <c r="AT8" s="33">
        <f t="shared" si="9"/>
        <v>0.50136986301369868</v>
      </c>
      <c r="AU8" s="33">
        <f t="shared" si="9"/>
        <v>0.50136986301369868</v>
      </c>
      <c r="AV8" s="33">
        <f t="shared" si="9"/>
        <v>0.50136986301369868</v>
      </c>
      <c r="AW8" s="33">
        <f t="shared" si="9"/>
        <v>0.49863013698630138</v>
      </c>
      <c r="AX8" s="33">
        <f t="shared" si="9"/>
        <v>0.50136986301369868</v>
      </c>
      <c r="AY8" s="33">
        <f t="shared" si="9"/>
        <v>0.49863013698630138</v>
      </c>
      <c r="AZ8" s="33">
        <f t="shared" si="9"/>
        <v>0.50136986301369868</v>
      </c>
      <c r="BA8" s="33">
        <f t="shared" si="9"/>
        <v>0.49863013698630138</v>
      </c>
      <c r="BB8" s="33">
        <f t="shared" si="9"/>
        <v>0.50136986301369868</v>
      </c>
      <c r="BC8" s="33">
        <f t="shared" si="9"/>
        <v>0.50136986301369868</v>
      </c>
      <c r="BD8" s="33">
        <f t="shared" si="9"/>
        <v>0.50136986301369868</v>
      </c>
    </row>
    <row r="9" spans="1:56" ht="15.75" customHeight="1" x14ac:dyDescent="0.2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</row>
    <row r="10" spans="1:56" ht="15.75" customHeight="1" x14ac:dyDescent="0.2">
      <c r="A10" s="29"/>
      <c r="B10" s="30" t="s">
        <v>82</v>
      </c>
      <c r="C10" s="29"/>
      <c r="D10" s="29"/>
      <c r="E10" s="29">
        <f>IF(E4&lt;=Inputs!$C$4,1,0)</f>
        <v>1</v>
      </c>
      <c r="F10" s="29">
        <f>IF(F4&lt;=Inputs!$C$4,1,0)</f>
        <v>1</v>
      </c>
      <c r="G10" s="29">
        <f>IF(G4&lt;=Inputs!$C$4,1,0)</f>
        <v>0</v>
      </c>
      <c r="H10" s="29">
        <f>IF(H4&lt;=Inputs!$C$4,1,0)</f>
        <v>0</v>
      </c>
      <c r="I10" s="29">
        <f>IF(I4&lt;=Inputs!$C$4,1,0)</f>
        <v>0</v>
      </c>
      <c r="J10" s="29">
        <f>IF(J4&lt;=Inputs!$C$4,1,0)</f>
        <v>0</v>
      </c>
      <c r="K10" s="29">
        <f>IF(K4&lt;=Inputs!$C$4,1,0)</f>
        <v>0</v>
      </c>
      <c r="L10" s="29">
        <f>IF(L4&lt;=Inputs!$C$4,1,0)</f>
        <v>0</v>
      </c>
      <c r="M10" s="29">
        <f>IF(M4&lt;=Inputs!$C$4,1,0)</f>
        <v>0</v>
      </c>
      <c r="N10" s="29">
        <f>IF(N4&lt;=Inputs!$C$4,1,0)</f>
        <v>0</v>
      </c>
      <c r="O10" s="29">
        <f>IF(O4&lt;=Inputs!$C$4,1,0)</f>
        <v>0</v>
      </c>
      <c r="P10" s="29">
        <f>IF(P4&lt;=Inputs!$C$4,1,0)</f>
        <v>0</v>
      </c>
      <c r="Q10" s="29">
        <f>IF(Q4&lt;=Inputs!$C$4,1,0)</f>
        <v>0</v>
      </c>
      <c r="R10" s="29">
        <f>IF(R4&lt;=Inputs!$C$4,1,0)</f>
        <v>0</v>
      </c>
      <c r="S10" s="29">
        <f>IF(S4&lt;=Inputs!$C$4,1,0)</f>
        <v>0</v>
      </c>
      <c r="T10" s="29">
        <f>IF(T4&lt;=Inputs!$C$4,1,0)</f>
        <v>0</v>
      </c>
      <c r="U10" s="29">
        <f>IF(U4&lt;=Inputs!$C$4,1,0)</f>
        <v>0</v>
      </c>
      <c r="V10" s="29">
        <f>IF(V4&lt;=Inputs!$C$4,1,0)</f>
        <v>0</v>
      </c>
      <c r="W10" s="29">
        <f>IF(W4&lt;=Inputs!$C$4,1,0)</f>
        <v>0</v>
      </c>
      <c r="X10" s="29">
        <f>IF(X4&lt;=Inputs!$C$4,1,0)</f>
        <v>0</v>
      </c>
      <c r="Y10" s="29">
        <f>IF(Y4&lt;=Inputs!$C$4,1,0)</f>
        <v>0</v>
      </c>
      <c r="Z10" s="29">
        <f>IF(Z4&lt;=Inputs!$C$4,1,0)</f>
        <v>0</v>
      </c>
      <c r="AA10" s="29">
        <f>IF(AA4&lt;=Inputs!$C$4,1,0)</f>
        <v>0</v>
      </c>
      <c r="AB10" s="29">
        <f>IF(AB4&lt;=Inputs!$C$4,1,0)</f>
        <v>0</v>
      </c>
      <c r="AC10" s="29">
        <f>IF(AC4&lt;=Inputs!$C$4,1,0)</f>
        <v>0</v>
      </c>
      <c r="AD10" s="29">
        <f>IF(AD4&lt;=Inputs!$C$4,1,0)</f>
        <v>0</v>
      </c>
      <c r="AE10" s="29">
        <f>IF(AE4&lt;=Inputs!$C$4,1,0)</f>
        <v>0</v>
      </c>
      <c r="AF10" s="29">
        <f>IF(AF4&lt;=Inputs!$C$4,1,0)</f>
        <v>0</v>
      </c>
      <c r="AG10" s="29">
        <f>IF(AG4&lt;=Inputs!$C$4,1,0)</f>
        <v>0</v>
      </c>
      <c r="AH10" s="29">
        <f>IF(AH4&lt;=Inputs!$C$4,1,0)</f>
        <v>0</v>
      </c>
      <c r="AI10" s="29">
        <f>IF(AI4&lt;=Inputs!$C$4,1,0)</f>
        <v>0</v>
      </c>
      <c r="AJ10" s="29">
        <f>IF(AJ4&lt;=Inputs!$C$4,1,0)</f>
        <v>0</v>
      </c>
      <c r="AK10" s="29">
        <f>IF(AK4&lt;=Inputs!$C$4,1,0)</f>
        <v>0</v>
      </c>
      <c r="AL10" s="29">
        <f>IF(AL4&lt;=Inputs!$C$4,1,0)</f>
        <v>0</v>
      </c>
      <c r="AM10" s="29">
        <f>IF(AM4&lt;=Inputs!$C$4,1,0)</f>
        <v>0</v>
      </c>
      <c r="AN10" s="29">
        <f>IF(AN4&lt;=Inputs!$C$4,1,0)</f>
        <v>0</v>
      </c>
      <c r="AO10" s="29">
        <f>IF(AO4&lt;=Inputs!$C$4,1,0)</f>
        <v>0</v>
      </c>
      <c r="AP10" s="29">
        <f>IF(AP4&lt;=Inputs!$C$4,1,0)</f>
        <v>0</v>
      </c>
      <c r="AQ10" s="29">
        <f>IF(AQ4&lt;=Inputs!$C$4,1,0)</f>
        <v>0</v>
      </c>
      <c r="AR10" s="29">
        <f>IF(AR4&lt;=Inputs!$C$4,1,0)</f>
        <v>0</v>
      </c>
      <c r="AS10" s="29">
        <f>IF(AS4&lt;=Inputs!$C$4,1,0)</f>
        <v>0</v>
      </c>
      <c r="AT10" s="29">
        <f>IF(AT4&lt;=Inputs!$C$4,1,0)</f>
        <v>0</v>
      </c>
      <c r="AU10" s="29">
        <f>IF(AU4&lt;=Inputs!$C$4,1,0)</f>
        <v>0</v>
      </c>
      <c r="AV10" s="29">
        <f>IF(AV4&lt;=Inputs!$C$4,1,0)</f>
        <v>0</v>
      </c>
      <c r="AW10" s="29">
        <f>IF(AW4&lt;=Inputs!$C$4,1,0)</f>
        <v>0</v>
      </c>
      <c r="AX10" s="29">
        <f>IF(AX4&lt;=Inputs!$C$4,1,0)</f>
        <v>0</v>
      </c>
      <c r="AY10" s="29">
        <f>IF(AY4&lt;=Inputs!$C$4,1,0)</f>
        <v>0</v>
      </c>
      <c r="AZ10" s="29">
        <f>IF(AZ4&lt;=Inputs!$C$4,1,0)</f>
        <v>0</v>
      </c>
      <c r="BA10" s="29">
        <f>IF(BA4&lt;=Inputs!$C$4,1,0)</f>
        <v>0</v>
      </c>
      <c r="BB10" s="29">
        <f>IF(BB4&lt;=Inputs!$C$4,1,0)</f>
        <v>0</v>
      </c>
      <c r="BC10" s="29">
        <f>IF(BC4&lt;=Inputs!$C$4,1,0)</f>
        <v>0</v>
      </c>
      <c r="BD10" s="29">
        <f>IF(BD4&lt;=Inputs!$C$4,1,0)</f>
        <v>0</v>
      </c>
    </row>
    <row r="11" spans="1:56" ht="15.75" customHeight="1" x14ac:dyDescent="0.2">
      <c r="A11" s="29"/>
      <c r="B11" s="30" t="s">
        <v>83</v>
      </c>
      <c r="C11" s="29"/>
      <c r="D11" s="29"/>
      <c r="E11" s="29">
        <f>IF(AND(E4&gt;Inputs!$C$4,Timing!E4&lt;=(Inputs!$C$5+Inputs!$C$4)),1,0)</f>
        <v>0</v>
      </c>
      <c r="F11" s="29">
        <f>IF(AND(F4&gt;Inputs!$C$4,Timing!F4&lt;=(Inputs!$C$5+Inputs!$C$4)),1,0)</f>
        <v>0</v>
      </c>
      <c r="G11" s="29">
        <f>IF(AND(G4&gt;Inputs!$C$4,Timing!G4&lt;=(Inputs!$C$5+Inputs!$C$4)),1,0)</f>
        <v>1</v>
      </c>
      <c r="H11" s="29">
        <f>IF(AND(H4&gt;Inputs!$C$4,Timing!H4&lt;=(Inputs!$C$5+Inputs!$C$4)),1,0)</f>
        <v>1</v>
      </c>
      <c r="I11" s="29">
        <f>IF(AND(I4&gt;Inputs!$C$4,Timing!I4&lt;=(Inputs!$C$5+Inputs!$C$4)),1,0)</f>
        <v>1</v>
      </c>
      <c r="J11" s="29">
        <f>IF(AND(J4&gt;Inputs!$C$4,Timing!J4&lt;=(Inputs!$C$5+Inputs!$C$4)),1,0)</f>
        <v>1</v>
      </c>
      <c r="K11" s="29">
        <f>IF(AND(K4&gt;Inputs!$C$4,Timing!K4&lt;=(Inputs!$C$5+Inputs!$C$4)),1,0)</f>
        <v>1</v>
      </c>
      <c r="L11" s="29">
        <f>IF(AND(L4&gt;Inputs!$C$4,Timing!L4&lt;=(Inputs!$C$5+Inputs!$C$4)),1,0)</f>
        <v>1</v>
      </c>
      <c r="M11" s="29">
        <f>IF(AND(M4&gt;Inputs!$C$4,Timing!M4&lt;=(Inputs!$C$5+Inputs!$C$4)),1,0)</f>
        <v>1</v>
      </c>
      <c r="N11" s="29">
        <f>IF(AND(N4&gt;Inputs!$C$4,Timing!N4&lt;=(Inputs!$C$5+Inputs!$C$4)),1,0)</f>
        <v>1</v>
      </c>
      <c r="O11" s="29">
        <f>IF(AND(O4&gt;Inputs!$C$4,Timing!O4&lt;=(Inputs!$C$5+Inputs!$C$4)),1,0)</f>
        <v>1</v>
      </c>
      <c r="P11" s="29">
        <f>IF(AND(P4&gt;Inputs!$C$4,Timing!P4&lt;=(Inputs!$C$5+Inputs!$C$4)),1,0)</f>
        <v>1</v>
      </c>
      <c r="Q11" s="29">
        <f>IF(AND(Q4&gt;Inputs!$C$4,Timing!Q4&lt;=(Inputs!$C$5+Inputs!$C$4)),1,0)</f>
        <v>1</v>
      </c>
      <c r="R11" s="29">
        <f>IF(AND(R4&gt;Inputs!$C$4,Timing!R4&lt;=(Inputs!$C$5+Inputs!$C$4)),1,0)</f>
        <v>1</v>
      </c>
      <c r="S11" s="29">
        <f>IF(AND(S4&gt;Inputs!$C$4,Timing!S4&lt;=(Inputs!$C$5+Inputs!$C$4)),1,0)</f>
        <v>1</v>
      </c>
      <c r="T11" s="29">
        <f>IF(AND(T4&gt;Inputs!$C$4,Timing!T4&lt;=(Inputs!$C$5+Inputs!$C$4)),1,0)</f>
        <v>1</v>
      </c>
      <c r="U11" s="29">
        <f>IF(AND(U4&gt;Inputs!$C$4,Timing!U4&lt;=(Inputs!$C$5+Inputs!$C$4)),1,0)</f>
        <v>1</v>
      </c>
      <c r="V11" s="29">
        <f>IF(AND(V4&gt;Inputs!$C$4,Timing!V4&lt;=(Inputs!$C$5+Inputs!$C$4)),1,0)</f>
        <v>1</v>
      </c>
      <c r="W11" s="29">
        <f>IF(AND(W4&gt;Inputs!$C$4,Timing!W4&lt;=(Inputs!$C$5+Inputs!$C$4)),1,0)</f>
        <v>1</v>
      </c>
      <c r="X11" s="29">
        <f>IF(AND(X4&gt;Inputs!$C$4,Timing!X4&lt;=(Inputs!$C$5+Inputs!$C$4)),1,0)</f>
        <v>1</v>
      </c>
      <c r="Y11" s="29">
        <f>IF(AND(Y4&gt;Inputs!$C$4,Timing!Y4&lt;=(Inputs!$C$5+Inputs!$C$4)),1,0)</f>
        <v>1</v>
      </c>
      <c r="Z11" s="29">
        <f>IF(AND(Z4&gt;Inputs!$C$4,Timing!Z4&lt;=(Inputs!$C$5+Inputs!$C$4)),1,0)</f>
        <v>1</v>
      </c>
      <c r="AA11" s="29">
        <f>IF(AND(AA4&gt;Inputs!$C$4,Timing!AA4&lt;=(Inputs!$C$5+Inputs!$C$4)),1,0)</f>
        <v>1</v>
      </c>
      <c r="AB11" s="29">
        <f>IF(AND(AB4&gt;Inputs!$C$4,Timing!AB4&lt;=(Inputs!$C$5+Inputs!$C$4)),1,0)</f>
        <v>1</v>
      </c>
      <c r="AC11" s="29">
        <f>IF(AND(AC4&gt;Inputs!$C$4,Timing!AC4&lt;=(Inputs!$C$5+Inputs!$C$4)),1,0)</f>
        <v>1</v>
      </c>
      <c r="AD11" s="29">
        <f>IF(AND(AD4&gt;Inputs!$C$4,Timing!AD4&lt;=(Inputs!$C$5+Inputs!$C$4)),1,0)</f>
        <v>1</v>
      </c>
      <c r="AE11" s="29">
        <f>IF(AND(AE4&gt;Inputs!$C$4,Timing!AE4&lt;=(Inputs!$C$5+Inputs!$C$4)),1,0)</f>
        <v>1</v>
      </c>
      <c r="AF11" s="29">
        <f>IF(AND(AF4&gt;Inputs!$C$4,Timing!AF4&lt;=(Inputs!$C$5+Inputs!$C$4)),1,0)</f>
        <v>1</v>
      </c>
      <c r="AG11" s="29">
        <f>IF(AND(AG4&gt;Inputs!$C$4,Timing!AG4&lt;=(Inputs!$C$5+Inputs!$C$4)),1,0)</f>
        <v>1</v>
      </c>
      <c r="AH11" s="29">
        <f>IF(AND(AH4&gt;Inputs!$C$4,Timing!AH4&lt;=(Inputs!$C$5+Inputs!$C$4)),1,0)</f>
        <v>1</v>
      </c>
      <c r="AI11" s="29">
        <f>IF(AND(AI4&gt;Inputs!$C$4,Timing!AI4&lt;=(Inputs!$C$5+Inputs!$C$4)),1,0)</f>
        <v>1</v>
      </c>
      <c r="AJ11" s="29">
        <f>IF(AND(AJ4&gt;Inputs!$C$4,Timing!AJ4&lt;=(Inputs!$C$5+Inputs!$C$4)),1,0)</f>
        <v>1</v>
      </c>
      <c r="AK11" s="29">
        <f>IF(AND(AK4&gt;Inputs!$C$4,Timing!AK4&lt;=(Inputs!$C$5+Inputs!$C$4)),1,0)</f>
        <v>1</v>
      </c>
      <c r="AL11" s="29">
        <f>IF(AND(AL4&gt;Inputs!$C$4,Timing!AL4&lt;=(Inputs!$C$5+Inputs!$C$4)),1,0)</f>
        <v>1</v>
      </c>
      <c r="AM11" s="29">
        <f>IF(AND(AM4&gt;Inputs!$C$4,Timing!AM4&lt;=(Inputs!$C$5+Inputs!$C$4)),1,0)</f>
        <v>1</v>
      </c>
      <c r="AN11" s="29">
        <f>IF(AND(AN4&gt;Inputs!$C$4,Timing!AN4&lt;=(Inputs!$C$5+Inputs!$C$4)),1,0)</f>
        <v>1</v>
      </c>
      <c r="AO11" s="29">
        <f>IF(AND(AO4&gt;Inputs!$C$4,Timing!AO4&lt;=(Inputs!$C$5+Inputs!$C$4)),1,0)</f>
        <v>1</v>
      </c>
      <c r="AP11" s="29">
        <f>IF(AND(AP4&gt;Inputs!$C$4,Timing!AP4&lt;=(Inputs!$C$5+Inputs!$C$4)),1,0)</f>
        <v>1</v>
      </c>
      <c r="AQ11" s="29">
        <f>IF(AND(AQ4&gt;Inputs!$C$4,Timing!AQ4&lt;=(Inputs!$C$5+Inputs!$C$4)),1,0)</f>
        <v>1</v>
      </c>
      <c r="AR11" s="29">
        <f>IF(AND(AR4&gt;Inputs!$C$4,Timing!AR4&lt;=(Inputs!$C$5+Inputs!$C$4)),1,0)</f>
        <v>1</v>
      </c>
      <c r="AS11" s="29">
        <f>IF(AND(AS4&gt;Inputs!$C$4,Timing!AS4&lt;=(Inputs!$C$5+Inputs!$C$4)),1,0)</f>
        <v>1</v>
      </c>
      <c r="AT11" s="29">
        <f>IF(AND(AT4&gt;Inputs!$C$4,Timing!AT4&lt;=(Inputs!$C$5+Inputs!$C$4)),1,0)</f>
        <v>1</v>
      </c>
      <c r="AU11" s="29">
        <f>IF(AND(AU4&gt;Inputs!$C$4,Timing!AU4&lt;=(Inputs!$C$5+Inputs!$C$4)),1,0)</f>
        <v>1</v>
      </c>
      <c r="AV11" s="29">
        <f>IF(AND(AV4&gt;Inputs!$C$4,Timing!AV4&lt;=(Inputs!$C$5+Inputs!$C$4)),1,0)</f>
        <v>1</v>
      </c>
      <c r="AW11" s="29">
        <f>IF(AND(AW4&gt;Inputs!$C$4,Timing!AW4&lt;=(Inputs!$C$5+Inputs!$C$4)),1,0)</f>
        <v>1</v>
      </c>
      <c r="AX11" s="29">
        <f>IF(AND(AX4&gt;Inputs!$C$4,Timing!AX4&lt;=(Inputs!$C$5+Inputs!$C$4)),1,0)</f>
        <v>1</v>
      </c>
      <c r="AY11" s="29">
        <f>IF(AND(AY4&gt;Inputs!$C$4,Timing!AY4&lt;=(Inputs!$C$5+Inputs!$C$4)),1,0)</f>
        <v>1</v>
      </c>
      <c r="AZ11" s="29">
        <f>IF(AND(AZ4&gt;Inputs!$C$4,Timing!AZ4&lt;=(Inputs!$C$5+Inputs!$C$4)),1,0)</f>
        <v>1</v>
      </c>
      <c r="BA11" s="29">
        <f>IF(AND(BA4&gt;Inputs!$C$4,Timing!BA4&lt;=(Inputs!$C$5+Inputs!$C$4)),1,0)</f>
        <v>1</v>
      </c>
      <c r="BB11" s="29">
        <f>IF(AND(BB4&gt;Inputs!$C$4,Timing!BB4&lt;=(Inputs!$C$5+Inputs!$C$4)),1,0)</f>
        <v>1</v>
      </c>
      <c r="BC11" s="29">
        <f>IF(AND(BC4&gt;Inputs!$C$4,Timing!BC4&lt;=(Inputs!$C$5+Inputs!$C$4)),1,0)</f>
        <v>1</v>
      </c>
      <c r="BD11" s="29">
        <f>IF(AND(BD4&gt;Inputs!$C$4,Timing!BD4&lt;=(Inputs!$C$5+Inputs!$C$4)),1,0)</f>
        <v>1</v>
      </c>
    </row>
    <row r="12" spans="1:56" ht="15.75" customHeight="1" x14ac:dyDescent="0.2">
      <c r="A12" s="29"/>
      <c r="B12" s="30" t="s">
        <v>84</v>
      </c>
      <c r="C12" s="29"/>
      <c r="D12" s="29"/>
      <c r="E12" s="29">
        <f>IF(E11=1,E4-Inputs!$C$4,0)</f>
        <v>0</v>
      </c>
      <c r="F12" s="29">
        <f>IF(F11=1,F4-Inputs!$C$4,0)</f>
        <v>0</v>
      </c>
      <c r="G12" s="29">
        <f>IF(G11=1,G4-Inputs!$C$4,0)</f>
        <v>1</v>
      </c>
      <c r="H12" s="29">
        <f>IF(H11=1,H4-Inputs!$C$4,0)</f>
        <v>2</v>
      </c>
      <c r="I12" s="29">
        <f>IF(I11=1,I4-Inputs!$C$4,0)</f>
        <v>3</v>
      </c>
      <c r="J12" s="29">
        <f>IF(J11=1,J4-Inputs!$C$4,0)</f>
        <v>4</v>
      </c>
      <c r="K12" s="29">
        <f>IF(K11=1,K4-Inputs!$C$4,0)</f>
        <v>5</v>
      </c>
      <c r="L12" s="29">
        <f>IF(L11=1,L4-Inputs!$C$4,0)</f>
        <v>6</v>
      </c>
      <c r="M12" s="29">
        <f>IF(M11=1,M4-Inputs!$C$4,0)</f>
        <v>7</v>
      </c>
      <c r="N12" s="29">
        <f>IF(N11=1,N4-Inputs!$C$4,0)</f>
        <v>8</v>
      </c>
      <c r="O12" s="29">
        <f>IF(O11=1,O4-Inputs!$C$4,0)</f>
        <v>9</v>
      </c>
      <c r="P12" s="29">
        <f>IF(P11=1,P4-Inputs!$C$4,0)</f>
        <v>10</v>
      </c>
      <c r="Q12" s="29">
        <f>IF(Q11=1,Q4-Inputs!$C$4,0)</f>
        <v>11</v>
      </c>
      <c r="R12" s="29">
        <f>IF(R11=1,R4-Inputs!$C$4,0)</f>
        <v>12</v>
      </c>
      <c r="S12" s="29">
        <f>IF(S11=1,S4-Inputs!$C$4,0)</f>
        <v>13</v>
      </c>
      <c r="T12" s="29">
        <f>IF(T11=1,T4-Inputs!$C$4,0)</f>
        <v>14</v>
      </c>
      <c r="U12" s="29">
        <f>IF(U11=1,U4-Inputs!$C$4,0)</f>
        <v>15</v>
      </c>
      <c r="V12" s="29">
        <f>IF(V11=1,V4-Inputs!$C$4,0)</f>
        <v>16</v>
      </c>
      <c r="W12" s="29">
        <f>IF(W11=1,W4-Inputs!$C$4,0)</f>
        <v>17</v>
      </c>
      <c r="X12" s="29">
        <f>IF(X11=1,X4-Inputs!$C$4,0)</f>
        <v>18</v>
      </c>
      <c r="Y12" s="29">
        <f>IF(Y11=1,Y4-Inputs!$C$4,0)</f>
        <v>19</v>
      </c>
      <c r="Z12" s="29">
        <f>IF(Z11=1,Z4-Inputs!$C$4,0)</f>
        <v>20</v>
      </c>
      <c r="AA12" s="29">
        <f>IF(AA11=1,AA4-Inputs!$C$4,0)</f>
        <v>21</v>
      </c>
      <c r="AB12" s="29">
        <f>IF(AB11=1,AB4-Inputs!$C$4,0)</f>
        <v>22</v>
      </c>
      <c r="AC12" s="29">
        <f>IF(AC11=1,AC4-Inputs!$C$4,0)</f>
        <v>23</v>
      </c>
      <c r="AD12" s="29">
        <f>IF(AD11=1,AD4-Inputs!$C$4,0)</f>
        <v>24</v>
      </c>
      <c r="AE12" s="29">
        <f>IF(AE11=1,AE4-Inputs!$C$4,0)</f>
        <v>25</v>
      </c>
      <c r="AF12" s="29">
        <f>IF(AF11=1,AF4-Inputs!$C$4,0)</f>
        <v>26</v>
      </c>
      <c r="AG12" s="29">
        <f>IF(AG11=1,AG4-Inputs!$C$4,0)</f>
        <v>27</v>
      </c>
      <c r="AH12" s="29">
        <f>IF(AH11=1,AH4-Inputs!$C$4,0)</f>
        <v>28</v>
      </c>
      <c r="AI12" s="29">
        <f>IF(AI11=1,AI4-Inputs!$C$4,0)</f>
        <v>29</v>
      </c>
      <c r="AJ12" s="29">
        <f>IF(AJ11=1,AJ4-Inputs!$C$4,0)</f>
        <v>30</v>
      </c>
      <c r="AK12" s="29">
        <f>IF(AK11=1,AK4-Inputs!$C$4,0)</f>
        <v>31</v>
      </c>
      <c r="AL12" s="29">
        <f>IF(AL11=1,AL4-Inputs!$C$4,0)</f>
        <v>32</v>
      </c>
      <c r="AM12" s="29">
        <f>IF(AM11=1,AM4-Inputs!$C$4,0)</f>
        <v>33</v>
      </c>
      <c r="AN12" s="29">
        <f>IF(AN11=1,AN4-Inputs!$C$4,0)</f>
        <v>34</v>
      </c>
      <c r="AO12" s="29">
        <f>IF(AO11=1,AO4-Inputs!$C$4,0)</f>
        <v>35</v>
      </c>
      <c r="AP12" s="29">
        <f>IF(AP11=1,AP4-Inputs!$C$4,0)</f>
        <v>36</v>
      </c>
      <c r="AQ12" s="29">
        <f>IF(AQ11=1,AQ4-Inputs!$C$4,0)</f>
        <v>37</v>
      </c>
      <c r="AR12" s="29">
        <f>IF(AR11=1,AR4-Inputs!$C$4,0)</f>
        <v>38</v>
      </c>
      <c r="AS12" s="29">
        <f>IF(AS11=1,AS4-Inputs!$C$4,0)</f>
        <v>39</v>
      </c>
      <c r="AT12" s="29">
        <f>IF(AT11=1,AT4-Inputs!$C$4,0)</f>
        <v>40</v>
      </c>
      <c r="AU12" s="29">
        <f>IF(AU11=1,AU4-Inputs!$C$4,0)</f>
        <v>41</v>
      </c>
      <c r="AV12" s="29">
        <f>IF(AV11=1,AV4-Inputs!$C$4,0)</f>
        <v>42</v>
      </c>
      <c r="AW12" s="29">
        <f>IF(AW11=1,AW4-Inputs!$C$4,0)</f>
        <v>43</v>
      </c>
      <c r="AX12" s="29">
        <f>IF(AX11=1,AX4-Inputs!$C$4,0)</f>
        <v>44</v>
      </c>
      <c r="AY12" s="29">
        <f>IF(AY11=1,AY4-Inputs!$C$4,0)</f>
        <v>45</v>
      </c>
      <c r="AZ12" s="29">
        <f>IF(AZ11=1,AZ4-Inputs!$C$4,0)</f>
        <v>46</v>
      </c>
      <c r="BA12" s="29">
        <f>IF(BA11=1,BA4-Inputs!$C$4,0)</f>
        <v>47</v>
      </c>
      <c r="BB12" s="29">
        <f>IF(BB11=1,BB4-Inputs!$C$4,0)</f>
        <v>48</v>
      </c>
      <c r="BC12" s="29">
        <f>IF(BC11=1,BC4-Inputs!$C$4,0)</f>
        <v>49</v>
      </c>
      <c r="BD12" s="29">
        <f>IF(BD11=1,BD4-Inputs!$C$4,0)</f>
        <v>50</v>
      </c>
    </row>
    <row r="13" spans="1:56" ht="15.75" customHeight="1" x14ac:dyDescent="0.2">
      <c r="A13" s="29"/>
      <c r="B13" s="30" t="s">
        <v>85</v>
      </c>
      <c r="C13" s="29"/>
      <c r="D13" s="29"/>
      <c r="E13" s="29">
        <f t="shared" ref="E13:AJ13" si="10">IF(E11=1,ROUNDUP(E12/2,0),0)</f>
        <v>0</v>
      </c>
      <c r="F13" s="29">
        <f t="shared" si="10"/>
        <v>0</v>
      </c>
      <c r="G13" s="29">
        <f t="shared" si="10"/>
        <v>1</v>
      </c>
      <c r="H13" s="29">
        <f t="shared" si="10"/>
        <v>1</v>
      </c>
      <c r="I13" s="29">
        <f t="shared" si="10"/>
        <v>2</v>
      </c>
      <c r="J13" s="29">
        <f t="shared" si="10"/>
        <v>2</v>
      </c>
      <c r="K13" s="29">
        <f t="shared" si="10"/>
        <v>3</v>
      </c>
      <c r="L13" s="29">
        <f t="shared" si="10"/>
        <v>3</v>
      </c>
      <c r="M13" s="29">
        <f t="shared" si="10"/>
        <v>4</v>
      </c>
      <c r="N13" s="29">
        <f t="shared" si="10"/>
        <v>4</v>
      </c>
      <c r="O13" s="29">
        <f t="shared" si="10"/>
        <v>5</v>
      </c>
      <c r="P13" s="29">
        <f t="shared" si="10"/>
        <v>5</v>
      </c>
      <c r="Q13" s="29">
        <f t="shared" si="10"/>
        <v>6</v>
      </c>
      <c r="R13" s="29">
        <f t="shared" si="10"/>
        <v>6</v>
      </c>
      <c r="S13" s="29">
        <f t="shared" si="10"/>
        <v>7</v>
      </c>
      <c r="T13" s="29">
        <f t="shared" si="10"/>
        <v>7</v>
      </c>
      <c r="U13" s="29">
        <f t="shared" si="10"/>
        <v>8</v>
      </c>
      <c r="V13" s="29">
        <f t="shared" si="10"/>
        <v>8</v>
      </c>
      <c r="W13" s="29">
        <f t="shared" si="10"/>
        <v>9</v>
      </c>
      <c r="X13" s="29">
        <f t="shared" si="10"/>
        <v>9</v>
      </c>
      <c r="Y13" s="29">
        <f t="shared" si="10"/>
        <v>10</v>
      </c>
      <c r="Z13" s="29">
        <f t="shared" si="10"/>
        <v>10</v>
      </c>
      <c r="AA13" s="29">
        <f t="shared" si="10"/>
        <v>11</v>
      </c>
      <c r="AB13" s="29">
        <f t="shared" si="10"/>
        <v>11</v>
      </c>
      <c r="AC13" s="29">
        <f t="shared" si="10"/>
        <v>12</v>
      </c>
      <c r="AD13" s="29">
        <f t="shared" si="10"/>
        <v>12</v>
      </c>
      <c r="AE13" s="29">
        <f t="shared" si="10"/>
        <v>13</v>
      </c>
      <c r="AF13" s="29">
        <f t="shared" si="10"/>
        <v>13</v>
      </c>
      <c r="AG13" s="29">
        <f t="shared" si="10"/>
        <v>14</v>
      </c>
      <c r="AH13" s="29">
        <f t="shared" si="10"/>
        <v>14</v>
      </c>
      <c r="AI13" s="29">
        <f t="shared" si="10"/>
        <v>15</v>
      </c>
      <c r="AJ13" s="29">
        <f t="shared" si="10"/>
        <v>15</v>
      </c>
      <c r="AK13" s="29">
        <f t="shared" ref="AK13:BD13" si="11">IF(AK11=1,ROUNDUP(AK12/2,0),0)</f>
        <v>16</v>
      </c>
      <c r="AL13" s="29">
        <f t="shared" si="11"/>
        <v>16</v>
      </c>
      <c r="AM13" s="29">
        <f t="shared" si="11"/>
        <v>17</v>
      </c>
      <c r="AN13" s="29">
        <f t="shared" si="11"/>
        <v>17</v>
      </c>
      <c r="AO13" s="29">
        <f t="shared" si="11"/>
        <v>18</v>
      </c>
      <c r="AP13" s="29">
        <f t="shared" si="11"/>
        <v>18</v>
      </c>
      <c r="AQ13" s="29">
        <f t="shared" si="11"/>
        <v>19</v>
      </c>
      <c r="AR13" s="29">
        <f t="shared" si="11"/>
        <v>19</v>
      </c>
      <c r="AS13" s="29">
        <f t="shared" si="11"/>
        <v>20</v>
      </c>
      <c r="AT13" s="29">
        <f t="shared" si="11"/>
        <v>20</v>
      </c>
      <c r="AU13" s="29">
        <f t="shared" si="11"/>
        <v>21</v>
      </c>
      <c r="AV13" s="29">
        <f t="shared" si="11"/>
        <v>21</v>
      </c>
      <c r="AW13" s="29">
        <f t="shared" si="11"/>
        <v>22</v>
      </c>
      <c r="AX13" s="29">
        <f t="shared" si="11"/>
        <v>22</v>
      </c>
      <c r="AY13" s="29">
        <f t="shared" si="11"/>
        <v>23</v>
      </c>
      <c r="AZ13" s="29">
        <f t="shared" si="11"/>
        <v>23</v>
      </c>
      <c r="BA13" s="29">
        <f t="shared" si="11"/>
        <v>24</v>
      </c>
      <c r="BB13" s="29">
        <f t="shared" si="11"/>
        <v>24</v>
      </c>
      <c r="BC13" s="29">
        <f t="shared" si="11"/>
        <v>25</v>
      </c>
      <c r="BD13" s="29">
        <f t="shared" si="11"/>
        <v>25</v>
      </c>
    </row>
    <row r="14" spans="1:56" ht="15.75" customHeight="1" x14ac:dyDescent="0.2">
      <c r="A14" s="29"/>
      <c r="B14" s="30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</row>
    <row r="15" spans="1:56" ht="15.75" customHeight="1" x14ac:dyDescent="0.2">
      <c r="A15" s="29"/>
      <c r="B15" s="30" t="s">
        <v>86</v>
      </c>
      <c r="C15" s="29"/>
      <c r="D15" s="29"/>
      <c r="E15" s="29">
        <f>IF(AND(E11=1,E12&lt;=Inputs!$C$6),1,0)</f>
        <v>0</v>
      </c>
      <c r="F15" s="29">
        <f>IF(AND(F11=1,F12&lt;=Inputs!$C$6),1,0)</f>
        <v>0</v>
      </c>
      <c r="G15" s="29">
        <f>IF(AND(G11=1,G12&lt;=Inputs!$C$6),1,0)</f>
        <v>1</v>
      </c>
      <c r="H15" s="29">
        <f>IF(AND(H11=1,H12&lt;=Inputs!$C$6),1,0)</f>
        <v>1</v>
      </c>
      <c r="I15" s="29">
        <f>IF(AND(I11=1,I12&lt;=Inputs!$C$6),1,0)</f>
        <v>1</v>
      </c>
      <c r="J15" s="29">
        <f>IF(AND(J11=1,J12&lt;=Inputs!$C$6),1,0)</f>
        <v>1</v>
      </c>
      <c r="K15" s="29">
        <f>IF(AND(K11=1,K12&lt;=Inputs!$C$6),1,0)</f>
        <v>1</v>
      </c>
      <c r="L15" s="29">
        <f>IF(AND(L11=1,L12&lt;=Inputs!$C$6),1,0)</f>
        <v>1</v>
      </c>
      <c r="M15" s="29">
        <f>IF(AND(M11=1,M12&lt;=Inputs!$C$6),1,0)</f>
        <v>1</v>
      </c>
      <c r="N15" s="29">
        <f>IF(AND(N11=1,N12&lt;=Inputs!$C$6),1,0)</f>
        <v>1</v>
      </c>
      <c r="O15" s="29">
        <f>IF(AND(O11=1,O12&lt;=Inputs!$C$6),1,0)</f>
        <v>1</v>
      </c>
      <c r="P15" s="29">
        <f>IF(AND(P11=1,P12&lt;=Inputs!$C$6),1,0)</f>
        <v>1</v>
      </c>
      <c r="Q15" s="29">
        <f>IF(AND(Q11=1,Q12&lt;=Inputs!$C$6),1,0)</f>
        <v>1</v>
      </c>
      <c r="R15" s="29">
        <f>IF(AND(R11=1,R12&lt;=Inputs!$C$6),1,0)</f>
        <v>1</v>
      </c>
      <c r="S15" s="29">
        <f>IF(AND(S11=1,S12&lt;=Inputs!$C$6),1,0)</f>
        <v>1</v>
      </c>
      <c r="T15" s="29">
        <f>IF(AND(T11=1,T12&lt;=Inputs!$C$6),1,0)</f>
        <v>1</v>
      </c>
      <c r="U15" s="29">
        <f>IF(AND(U11=1,U12&lt;=Inputs!$C$6),1,0)</f>
        <v>1</v>
      </c>
      <c r="V15" s="29">
        <f>IF(AND(V11=1,V12&lt;=Inputs!$C$6),1,0)</f>
        <v>1</v>
      </c>
      <c r="W15" s="29">
        <f>IF(AND(W11=1,W12&lt;=Inputs!$C$6),1,0)</f>
        <v>1</v>
      </c>
      <c r="X15" s="29">
        <f>IF(AND(X11=1,X12&lt;=Inputs!$C$6),1,0)</f>
        <v>1</v>
      </c>
      <c r="Y15" s="29">
        <f>IF(AND(Y11=1,Y12&lt;=Inputs!$C$6),1,0)</f>
        <v>1</v>
      </c>
      <c r="Z15" s="29">
        <f>IF(AND(Z11=1,Z12&lt;=Inputs!$C$6),1,0)</f>
        <v>1</v>
      </c>
      <c r="AA15" s="29">
        <f>IF(AND(AA11=1,AA12&lt;=Inputs!$C$6),1,0)</f>
        <v>1</v>
      </c>
      <c r="AB15" s="29">
        <f>IF(AND(AB11=1,AB12&lt;=Inputs!$C$6),1,0)</f>
        <v>1</v>
      </c>
      <c r="AC15" s="29">
        <f>IF(AND(AC11=1,AC12&lt;=Inputs!$C$6),1,0)</f>
        <v>1</v>
      </c>
      <c r="AD15" s="29">
        <f>IF(AND(AD11=1,AD12&lt;=Inputs!$C$6),1,0)</f>
        <v>1</v>
      </c>
      <c r="AE15" s="29">
        <f>IF(AND(AE11=1,AE12&lt;=Inputs!$C$6),1,0)</f>
        <v>1</v>
      </c>
      <c r="AF15" s="29">
        <f>IF(AND(AF11=1,AF12&lt;=Inputs!$C$6),1,0)</f>
        <v>1</v>
      </c>
      <c r="AG15" s="29">
        <f>IF(AND(AG11=1,AG12&lt;=Inputs!$C$6),1,0)</f>
        <v>1</v>
      </c>
      <c r="AH15" s="29">
        <f>IF(AND(AH11=1,AH12&lt;=Inputs!$C$6),1,0)</f>
        <v>1</v>
      </c>
      <c r="AI15" s="29">
        <f>IF(AND(AI11=1,AI12&lt;=Inputs!$C$6),1,0)</f>
        <v>1</v>
      </c>
      <c r="AJ15" s="29">
        <f>IF(AND(AJ11=1,AJ12&lt;=Inputs!$C$6),1,0)</f>
        <v>1</v>
      </c>
      <c r="AK15" s="29">
        <f>IF(AND(AK11=1,AK12&lt;=Inputs!$C$6),1,0)</f>
        <v>1</v>
      </c>
      <c r="AL15" s="29">
        <f>IF(AND(AL11=1,AL12&lt;=Inputs!$C$6),1,0)</f>
        <v>1</v>
      </c>
      <c r="AM15" s="29">
        <f>IF(AND(AM11=1,AM12&lt;=Inputs!$C$6),1,0)</f>
        <v>1</v>
      </c>
      <c r="AN15" s="29">
        <f>IF(AND(AN11=1,AN12&lt;=Inputs!$C$6),1,0)</f>
        <v>1</v>
      </c>
      <c r="AO15" s="29">
        <f>IF(AND(AO11=1,AO12&lt;=Inputs!$C$6),1,0)</f>
        <v>1</v>
      </c>
      <c r="AP15" s="29">
        <f>IF(AND(AP11=1,AP12&lt;=Inputs!$C$6),1,0)</f>
        <v>1</v>
      </c>
      <c r="AQ15" s="29">
        <f>IF(AND(AQ11=1,AQ12&lt;=Inputs!$C$6),1,0)</f>
        <v>1</v>
      </c>
      <c r="AR15" s="29">
        <f>IF(AND(AR11=1,AR12&lt;=Inputs!$C$6),1,0)</f>
        <v>1</v>
      </c>
      <c r="AS15" s="29">
        <f>IF(AND(AS11=1,AS12&lt;=Inputs!$C$6),1,0)</f>
        <v>1</v>
      </c>
      <c r="AT15" s="29">
        <f>IF(AND(AT11=1,AT12&lt;=Inputs!$C$6),1,0)</f>
        <v>1</v>
      </c>
      <c r="AU15" s="29">
        <f>IF(AND(AU11=1,AU12&lt;=Inputs!$C$6),1,0)</f>
        <v>0</v>
      </c>
      <c r="AV15" s="29">
        <f>IF(AND(AV11=1,AV12&lt;=Inputs!$C$6),1,0)</f>
        <v>0</v>
      </c>
      <c r="AW15" s="29">
        <f>IF(AND(AW11=1,AW12&lt;=Inputs!$C$6),1,0)</f>
        <v>0</v>
      </c>
      <c r="AX15" s="29">
        <f>IF(AND(AX11=1,AX12&lt;=Inputs!$C$6),1,0)</f>
        <v>0</v>
      </c>
      <c r="AY15" s="29">
        <f>IF(AND(AY11=1,AY12&lt;=Inputs!$C$6),1,0)</f>
        <v>0</v>
      </c>
      <c r="AZ15" s="29">
        <f>IF(AND(AZ11=1,AZ12&lt;=Inputs!$C$6),1,0)</f>
        <v>0</v>
      </c>
      <c r="BA15" s="29">
        <f>IF(AND(BA11=1,BA12&lt;=Inputs!$C$6),1,0)</f>
        <v>0</v>
      </c>
      <c r="BB15" s="29">
        <f>IF(AND(BB11=1,BB12&lt;=Inputs!$C$6),1,0)</f>
        <v>0</v>
      </c>
      <c r="BC15" s="29">
        <f>IF(AND(BC11=1,BC12&lt;=Inputs!$C$6),1,0)</f>
        <v>0</v>
      </c>
      <c r="BD15" s="29">
        <f>IF(AND(BD11=1,BD12&lt;=Inputs!$C$6),1,0)</f>
        <v>0</v>
      </c>
    </row>
    <row r="16" spans="1:56" ht="15.75" customHeight="1" x14ac:dyDescent="0.2">
      <c r="A16" s="29"/>
      <c r="B16" s="30" t="s">
        <v>87</v>
      </c>
      <c r="C16" s="29"/>
      <c r="D16" s="29"/>
      <c r="E16" s="29">
        <f t="shared" ref="E16:AJ16" si="12">IF(AND(E11=1,E15=0),1,0)</f>
        <v>0</v>
      </c>
      <c r="F16" s="29">
        <f t="shared" si="12"/>
        <v>0</v>
      </c>
      <c r="G16" s="29">
        <f t="shared" si="12"/>
        <v>0</v>
      </c>
      <c r="H16" s="29">
        <f t="shared" si="12"/>
        <v>0</v>
      </c>
      <c r="I16" s="29">
        <f t="shared" si="12"/>
        <v>0</v>
      </c>
      <c r="J16" s="29">
        <f t="shared" si="12"/>
        <v>0</v>
      </c>
      <c r="K16" s="29">
        <f t="shared" si="12"/>
        <v>0</v>
      </c>
      <c r="L16" s="29">
        <f t="shared" si="12"/>
        <v>0</v>
      </c>
      <c r="M16" s="29">
        <f t="shared" si="12"/>
        <v>0</v>
      </c>
      <c r="N16" s="29">
        <f t="shared" si="12"/>
        <v>0</v>
      </c>
      <c r="O16" s="29">
        <f t="shared" si="12"/>
        <v>0</v>
      </c>
      <c r="P16" s="29">
        <f t="shared" si="12"/>
        <v>0</v>
      </c>
      <c r="Q16" s="29">
        <f t="shared" si="12"/>
        <v>0</v>
      </c>
      <c r="R16" s="29">
        <f t="shared" si="12"/>
        <v>0</v>
      </c>
      <c r="S16" s="29">
        <f t="shared" si="12"/>
        <v>0</v>
      </c>
      <c r="T16" s="29">
        <f t="shared" si="12"/>
        <v>0</v>
      </c>
      <c r="U16" s="29">
        <f t="shared" si="12"/>
        <v>0</v>
      </c>
      <c r="V16" s="29">
        <f t="shared" si="12"/>
        <v>0</v>
      </c>
      <c r="W16" s="29">
        <f t="shared" si="12"/>
        <v>0</v>
      </c>
      <c r="X16" s="29">
        <f t="shared" si="12"/>
        <v>0</v>
      </c>
      <c r="Y16" s="29">
        <f t="shared" si="12"/>
        <v>0</v>
      </c>
      <c r="Z16" s="29">
        <f t="shared" si="12"/>
        <v>0</v>
      </c>
      <c r="AA16" s="29">
        <f t="shared" si="12"/>
        <v>0</v>
      </c>
      <c r="AB16" s="29">
        <f t="shared" si="12"/>
        <v>0</v>
      </c>
      <c r="AC16" s="29">
        <f t="shared" si="12"/>
        <v>0</v>
      </c>
      <c r="AD16" s="29">
        <f t="shared" si="12"/>
        <v>0</v>
      </c>
      <c r="AE16" s="29">
        <f t="shared" si="12"/>
        <v>0</v>
      </c>
      <c r="AF16" s="29">
        <f t="shared" si="12"/>
        <v>0</v>
      </c>
      <c r="AG16" s="29">
        <f t="shared" si="12"/>
        <v>0</v>
      </c>
      <c r="AH16" s="29">
        <f t="shared" si="12"/>
        <v>0</v>
      </c>
      <c r="AI16" s="29">
        <f t="shared" si="12"/>
        <v>0</v>
      </c>
      <c r="AJ16" s="29">
        <f t="shared" si="12"/>
        <v>0</v>
      </c>
      <c r="AK16" s="29">
        <f t="shared" ref="AK16:BD16" si="13">IF(AND(AK11=1,AK15=0),1,0)</f>
        <v>0</v>
      </c>
      <c r="AL16" s="29">
        <f t="shared" si="13"/>
        <v>0</v>
      </c>
      <c r="AM16" s="29">
        <f t="shared" si="13"/>
        <v>0</v>
      </c>
      <c r="AN16" s="29">
        <f t="shared" si="13"/>
        <v>0</v>
      </c>
      <c r="AO16" s="29">
        <f t="shared" si="13"/>
        <v>0</v>
      </c>
      <c r="AP16" s="29">
        <f t="shared" si="13"/>
        <v>0</v>
      </c>
      <c r="AQ16" s="29">
        <f t="shared" si="13"/>
        <v>0</v>
      </c>
      <c r="AR16" s="29">
        <f t="shared" si="13"/>
        <v>0</v>
      </c>
      <c r="AS16" s="29">
        <f t="shared" si="13"/>
        <v>0</v>
      </c>
      <c r="AT16" s="29">
        <f t="shared" si="13"/>
        <v>0</v>
      </c>
      <c r="AU16" s="29">
        <f t="shared" si="13"/>
        <v>1</v>
      </c>
      <c r="AV16" s="29">
        <f t="shared" si="13"/>
        <v>1</v>
      </c>
      <c r="AW16" s="29">
        <f t="shared" si="13"/>
        <v>1</v>
      </c>
      <c r="AX16" s="29">
        <f t="shared" si="13"/>
        <v>1</v>
      </c>
      <c r="AY16" s="29">
        <f t="shared" si="13"/>
        <v>1</v>
      </c>
      <c r="AZ16" s="29">
        <f t="shared" si="13"/>
        <v>1</v>
      </c>
      <c r="BA16" s="29">
        <f t="shared" si="13"/>
        <v>1</v>
      </c>
      <c r="BB16" s="29">
        <f t="shared" si="13"/>
        <v>1</v>
      </c>
      <c r="BC16" s="29">
        <f t="shared" si="13"/>
        <v>1</v>
      </c>
      <c r="BD16" s="29">
        <f t="shared" si="13"/>
        <v>1</v>
      </c>
    </row>
    <row r="17" spans="1:56" ht="15.75" customHeight="1" x14ac:dyDescent="0.2">
      <c r="A17" s="29"/>
      <c r="B17" s="30" t="s">
        <v>88</v>
      </c>
      <c r="C17" s="29"/>
      <c r="D17" s="29"/>
      <c r="E17" s="29">
        <f>IF(AND(E11=1,E12&lt;=Inputs!$C$7),1,0)</f>
        <v>0</v>
      </c>
      <c r="F17" s="29">
        <f>IF(AND(F11=1,F12&lt;=Inputs!$C$7),1,0)</f>
        <v>0</v>
      </c>
      <c r="G17" s="29">
        <f>IF(AND(G11=1,G12&lt;=Inputs!$C$7),1,0)</f>
        <v>1</v>
      </c>
      <c r="H17" s="29">
        <f>IF(AND(H11=1,H12&lt;=Inputs!$C$7),1,0)</f>
        <v>1</v>
      </c>
      <c r="I17" s="29">
        <f>IF(AND(I11=1,I12&lt;=Inputs!$C$7),1,0)</f>
        <v>1</v>
      </c>
      <c r="J17" s="29">
        <f>IF(AND(J11=1,J12&lt;=Inputs!$C$7),1,0)</f>
        <v>1</v>
      </c>
      <c r="K17" s="29">
        <f>IF(AND(K11=1,K12&lt;=Inputs!$C$7),1,0)</f>
        <v>1</v>
      </c>
      <c r="L17" s="29">
        <f>IF(AND(L11=1,L12&lt;=Inputs!$C$7),1,0)</f>
        <v>1</v>
      </c>
      <c r="M17" s="29">
        <f>IF(AND(M11=1,M12&lt;=Inputs!$C$7),1,0)</f>
        <v>1</v>
      </c>
      <c r="N17" s="29">
        <f>IF(AND(N11=1,N12&lt;=Inputs!$C$7),1,0)</f>
        <v>1</v>
      </c>
      <c r="O17" s="29">
        <f>IF(AND(O11=1,O12&lt;=Inputs!$C$7),1,0)</f>
        <v>1</v>
      </c>
      <c r="P17" s="29">
        <f>IF(AND(P11=1,P12&lt;=Inputs!$C$7),1,0)</f>
        <v>1</v>
      </c>
      <c r="Q17" s="29">
        <f>IF(AND(Q11=1,Q12&lt;=Inputs!$C$7),1,0)</f>
        <v>1</v>
      </c>
      <c r="R17" s="29">
        <f>IF(AND(R11=1,R12&lt;=Inputs!$C$7),1,0)</f>
        <v>1</v>
      </c>
      <c r="S17" s="29">
        <f>IF(AND(S11=1,S12&lt;=Inputs!$C$7),1,0)</f>
        <v>1</v>
      </c>
      <c r="T17" s="29">
        <f>IF(AND(T11=1,T12&lt;=Inputs!$C$7),1,0)</f>
        <v>1</v>
      </c>
      <c r="U17" s="29">
        <f>IF(AND(U11=1,U12&lt;=Inputs!$C$7),1,0)</f>
        <v>1</v>
      </c>
      <c r="V17" s="29">
        <f>IF(AND(V11=1,V12&lt;=Inputs!$C$7),1,0)</f>
        <v>1</v>
      </c>
      <c r="W17" s="29">
        <f>IF(AND(W11=1,W12&lt;=Inputs!$C$7),1,0)</f>
        <v>1</v>
      </c>
      <c r="X17" s="29">
        <f>IF(AND(X11=1,X12&lt;=Inputs!$C$7),1,0)</f>
        <v>1</v>
      </c>
      <c r="Y17" s="29">
        <f>IF(AND(Y11=1,Y12&lt;=Inputs!$C$7),1,0)</f>
        <v>1</v>
      </c>
      <c r="Z17" s="29">
        <f>IF(AND(Z11=1,Z12&lt;=Inputs!$C$7),1,0)</f>
        <v>1</v>
      </c>
      <c r="AA17" s="29">
        <f>IF(AND(AA11=1,AA12&lt;=Inputs!$C$7),1,0)</f>
        <v>1</v>
      </c>
      <c r="AB17" s="29">
        <f>IF(AND(AB11=1,AB12&lt;=Inputs!$C$7),1,0)</f>
        <v>1</v>
      </c>
      <c r="AC17" s="29">
        <f>IF(AND(AC11=1,AC12&lt;=Inputs!$C$7),1,0)</f>
        <v>1</v>
      </c>
      <c r="AD17" s="29">
        <f>IF(AND(AD11=1,AD12&lt;=Inputs!$C$7),1,0)</f>
        <v>1</v>
      </c>
      <c r="AE17" s="29">
        <f>IF(AND(AE11=1,AE12&lt;=Inputs!$C$7),1,0)</f>
        <v>1</v>
      </c>
      <c r="AF17" s="29">
        <f>IF(AND(AF11=1,AF12&lt;=Inputs!$C$7),1,0)</f>
        <v>1</v>
      </c>
      <c r="AG17" s="29">
        <f>IF(AND(AG11=1,AG12&lt;=Inputs!$C$7),1,0)</f>
        <v>1</v>
      </c>
      <c r="AH17" s="29">
        <f>IF(AND(AH11=1,AH12&lt;=Inputs!$C$7),1,0)</f>
        <v>1</v>
      </c>
      <c r="AI17" s="29">
        <f>IF(AND(AI11=1,AI12&lt;=Inputs!$C$7),1,0)</f>
        <v>1</v>
      </c>
      <c r="AJ17" s="29">
        <f>IF(AND(AJ11=1,AJ12&lt;=Inputs!$C$7),1,0)</f>
        <v>1</v>
      </c>
      <c r="AK17" s="29">
        <f>IF(AND(AK11=1,AK12&lt;=Inputs!$C$7),1,0)</f>
        <v>1</v>
      </c>
      <c r="AL17" s="29">
        <f>IF(AND(AL11=1,AL12&lt;=Inputs!$C$7),1,0)</f>
        <v>1</v>
      </c>
      <c r="AM17" s="29">
        <f>IF(AND(AM11=1,AM12&lt;=Inputs!$C$7),1,0)</f>
        <v>1</v>
      </c>
      <c r="AN17" s="29">
        <f>IF(AND(AN11=1,AN12&lt;=Inputs!$C$7),1,0)</f>
        <v>1</v>
      </c>
      <c r="AO17" s="29">
        <f>IF(AND(AO11=1,AO12&lt;=Inputs!$C$7),1,0)</f>
        <v>1</v>
      </c>
      <c r="AP17" s="29">
        <f>IF(AND(AP11=1,AP12&lt;=Inputs!$C$7),1,0)</f>
        <v>1</v>
      </c>
      <c r="AQ17" s="29">
        <f>IF(AND(AQ11=1,AQ12&lt;=Inputs!$C$7),1,0)</f>
        <v>0</v>
      </c>
      <c r="AR17" s="29">
        <f>IF(AND(AR11=1,AR12&lt;=Inputs!$C$7),1,0)</f>
        <v>0</v>
      </c>
      <c r="AS17" s="29">
        <f>IF(AND(AS11=1,AS12&lt;=Inputs!$C$7),1,0)</f>
        <v>0</v>
      </c>
      <c r="AT17" s="29">
        <f>IF(AND(AT11=1,AT12&lt;=Inputs!$C$7),1,0)</f>
        <v>0</v>
      </c>
      <c r="AU17" s="29">
        <f>IF(AND(AU11=1,AU12&lt;=Inputs!$C$7),1,0)</f>
        <v>0</v>
      </c>
      <c r="AV17" s="29">
        <f>IF(AND(AV11=1,AV12&lt;=Inputs!$C$7),1,0)</f>
        <v>0</v>
      </c>
      <c r="AW17" s="29">
        <f>IF(AND(AW11=1,AW12&lt;=Inputs!$C$7),1,0)</f>
        <v>0</v>
      </c>
      <c r="AX17" s="29">
        <f>IF(AND(AX11=1,AX12&lt;=Inputs!$C$7),1,0)</f>
        <v>0</v>
      </c>
      <c r="AY17" s="29">
        <f>IF(AND(AY11=1,AY12&lt;=Inputs!$C$7),1,0)</f>
        <v>0</v>
      </c>
      <c r="AZ17" s="29">
        <f>IF(AND(AZ11=1,AZ12&lt;=Inputs!$C$7),1,0)</f>
        <v>0</v>
      </c>
      <c r="BA17" s="29">
        <f>IF(AND(BA11=1,BA12&lt;=Inputs!$C$7),1,0)</f>
        <v>0</v>
      </c>
      <c r="BB17" s="29">
        <f>IF(AND(BB11=1,BB12&lt;=Inputs!$C$7),1,0)</f>
        <v>0</v>
      </c>
      <c r="BC17" s="29">
        <f>IF(AND(BC11=1,BC12&lt;=Inputs!$C$7),1,0)</f>
        <v>0</v>
      </c>
      <c r="BD17" s="29">
        <f>IF(AND(BD11=1,BD12&lt;=Inputs!$C$7),1,0)</f>
        <v>0</v>
      </c>
    </row>
    <row r="18" spans="1:56" ht="15.75" customHeight="1" x14ac:dyDescent="0.2">
      <c r="A18" s="29"/>
      <c r="B18" s="30" t="s">
        <v>89</v>
      </c>
      <c r="C18" s="29"/>
      <c r="D18" s="29"/>
      <c r="E18" s="29">
        <f>IF(AND(E11=1,E12&lt;=Inputs!$C$25),1,0)</f>
        <v>0</v>
      </c>
      <c r="F18" s="29">
        <f>IF(AND(F11=1,F12&lt;=Inputs!$C$25),1,0)</f>
        <v>0</v>
      </c>
      <c r="G18" s="29">
        <f>IF(AND(G11=1,G12&lt;=Inputs!$C$25),1,0)</f>
        <v>1</v>
      </c>
      <c r="H18" s="29">
        <f>IF(AND(H11=1,H12&lt;=Inputs!$C$25),1,0)</f>
        <v>1</v>
      </c>
      <c r="I18" s="29">
        <f>IF(AND(I11=1,I12&lt;=Inputs!$C$25),1,0)</f>
        <v>1</v>
      </c>
      <c r="J18" s="29">
        <f>IF(AND(J11=1,J12&lt;=Inputs!$C$25),1,0)</f>
        <v>1</v>
      </c>
      <c r="K18" s="29">
        <f>IF(AND(K11=1,K12&lt;=Inputs!$C$25),1,0)</f>
        <v>1</v>
      </c>
      <c r="L18" s="29">
        <f>IF(AND(L11=1,L12&lt;=Inputs!$C$25),1,0)</f>
        <v>1</v>
      </c>
      <c r="M18" s="29">
        <f>IF(AND(M11=1,M12&lt;=Inputs!$C$25),1,0)</f>
        <v>1</v>
      </c>
      <c r="N18" s="29">
        <f>IF(AND(N11=1,N12&lt;=Inputs!$C$25),1,0)</f>
        <v>1</v>
      </c>
      <c r="O18" s="29">
        <f>IF(AND(O11=1,O12&lt;=Inputs!$C$25),1,0)</f>
        <v>1</v>
      </c>
      <c r="P18" s="29">
        <f>IF(AND(P11=1,P12&lt;=Inputs!$C$25),1,0)</f>
        <v>1</v>
      </c>
      <c r="Q18" s="29">
        <f>IF(AND(Q11=1,Q12&lt;=Inputs!$C$25),1,0)</f>
        <v>1</v>
      </c>
      <c r="R18" s="29">
        <f>IF(AND(R11=1,R12&lt;=Inputs!$C$25),1,0)</f>
        <v>1</v>
      </c>
      <c r="S18" s="29">
        <f>IF(AND(S11=1,S12&lt;=Inputs!$C$25),1,0)</f>
        <v>1</v>
      </c>
      <c r="T18" s="29">
        <f>IF(AND(T11=1,T12&lt;=Inputs!$C$25),1,0)</f>
        <v>1</v>
      </c>
      <c r="U18" s="29">
        <f>IF(AND(U11=1,U12&lt;=Inputs!$C$25),1,0)</f>
        <v>1</v>
      </c>
      <c r="V18" s="29">
        <f>IF(AND(V11=1,V12&lt;=Inputs!$C$25),1,0)</f>
        <v>1</v>
      </c>
      <c r="W18" s="29">
        <f>IF(AND(W11=1,W12&lt;=Inputs!$C$25),1,0)</f>
        <v>1</v>
      </c>
      <c r="X18" s="29">
        <f>IF(AND(X11=1,X12&lt;=Inputs!$C$25),1,0)</f>
        <v>1</v>
      </c>
      <c r="Y18" s="29">
        <f>IF(AND(Y11=1,Y12&lt;=Inputs!$C$25),1,0)</f>
        <v>1</v>
      </c>
      <c r="Z18" s="29">
        <f>IF(AND(Z11=1,Z12&lt;=Inputs!$C$25),1,0)</f>
        <v>1</v>
      </c>
      <c r="AA18" s="29">
        <f>IF(AND(AA11=1,AA12&lt;=Inputs!$C$25),1,0)</f>
        <v>1</v>
      </c>
      <c r="AB18" s="29">
        <f>IF(AND(AB11=1,AB12&lt;=Inputs!$C$25),1,0)</f>
        <v>1</v>
      </c>
      <c r="AC18" s="29">
        <f>IF(AND(AC11=1,AC12&lt;=Inputs!$C$25),1,0)</f>
        <v>1</v>
      </c>
      <c r="AD18" s="29">
        <f>IF(AND(AD11=1,AD12&lt;=Inputs!$C$25),1,0)</f>
        <v>1</v>
      </c>
      <c r="AE18" s="29">
        <f>IF(AND(AE11=1,AE12&lt;=Inputs!$C$25),1,0)</f>
        <v>1</v>
      </c>
      <c r="AF18" s="29">
        <f>IF(AND(AF11=1,AF12&lt;=Inputs!$C$25),1,0)</f>
        <v>1</v>
      </c>
      <c r="AG18" s="29">
        <f>IF(AND(AG11=1,AG12&lt;=Inputs!$C$25),1,0)</f>
        <v>1</v>
      </c>
      <c r="AH18" s="29">
        <f>IF(AND(AH11=1,AH12&lt;=Inputs!$C$25),1,0)</f>
        <v>1</v>
      </c>
      <c r="AI18" s="29">
        <f>IF(AND(AI11=1,AI12&lt;=Inputs!$C$25),1,0)</f>
        <v>1</v>
      </c>
      <c r="AJ18" s="29">
        <f>IF(AND(AJ11=1,AJ12&lt;=Inputs!$C$25),1,0)</f>
        <v>1</v>
      </c>
      <c r="AK18" s="29">
        <f>IF(AND(AK11=1,AK12&lt;=Inputs!$C$25),1,0)</f>
        <v>1</v>
      </c>
      <c r="AL18" s="29">
        <f>IF(AND(AL11=1,AL12&lt;=Inputs!$C$25),1,0)</f>
        <v>1</v>
      </c>
      <c r="AM18" s="29">
        <f>IF(AND(AM11=1,AM12&lt;=Inputs!$C$25),1,0)</f>
        <v>1</v>
      </c>
      <c r="AN18" s="29">
        <f>IF(AND(AN11=1,AN12&lt;=Inputs!$C$25),1,0)</f>
        <v>1</v>
      </c>
      <c r="AO18" s="29">
        <f>IF(AND(AO11=1,AO12&lt;=Inputs!$C$25),1,0)</f>
        <v>1</v>
      </c>
      <c r="AP18" s="29">
        <f>IF(AND(AP11=1,AP12&lt;=Inputs!$C$25),1,0)</f>
        <v>1</v>
      </c>
      <c r="AQ18" s="29">
        <f>IF(AND(AQ11=1,AQ12&lt;=Inputs!$C$25),1,0)</f>
        <v>1</v>
      </c>
      <c r="AR18" s="29">
        <f>IF(AND(AR11=1,AR12&lt;=Inputs!$C$25),1,0)</f>
        <v>1</v>
      </c>
      <c r="AS18" s="29">
        <f>IF(AND(AS11=1,AS12&lt;=Inputs!$C$25),1,0)</f>
        <v>1</v>
      </c>
      <c r="AT18" s="29">
        <f>IF(AND(AT11=1,AT12&lt;=Inputs!$C$25),1,0)</f>
        <v>1</v>
      </c>
      <c r="AU18" s="29">
        <f>IF(AND(AU11=1,AU12&lt;=Inputs!$C$25),1,0)</f>
        <v>0</v>
      </c>
      <c r="AV18" s="29">
        <f>IF(AND(AV11=1,AV12&lt;=Inputs!$C$25),1,0)</f>
        <v>0</v>
      </c>
      <c r="AW18" s="29">
        <f>IF(AND(AW11=1,AW12&lt;=Inputs!$C$25),1,0)</f>
        <v>0</v>
      </c>
      <c r="AX18" s="29">
        <f>IF(AND(AX11=1,AX12&lt;=Inputs!$C$25),1,0)</f>
        <v>0</v>
      </c>
      <c r="AY18" s="29">
        <f>IF(AND(AY11=1,AY12&lt;=Inputs!$C$25),1,0)</f>
        <v>0</v>
      </c>
      <c r="AZ18" s="29">
        <f>IF(AND(AZ11=1,AZ12&lt;=Inputs!$C$25),1,0)</f>
        <v>0</v>
      </c>
      <c r="BA18" s="29">
        <f>IF(AND(BA11=1,BA12&lt;=Inputs!$C$25),1,0)</f>
        <v>0</v>
      </c>
      <c r="BB18" s="29">
        <f>IF(AND(BB11=1,BB12&lt;=Inputs!$C$25),1,0)</f>
        <v>0</v>
      </c>
      <c r="BC18" s="29">
        <f>IF(AND(BC11=1,BC12&lt;=Inputs!$C$25),1,0)</f>
        <v>0</v>
      </c>
      <c r="BD18" s="29">
        <f>IF(AND(BD11=1,BD12&lt;=Inputs!$C$25),1,0)</f>
        <v>0</v>
      </c>
    </row>
  </sheetData>
  <pageMargins left="0.7" right="0.7" top="0.75" bottom="0.7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BD46"/>
  <sheetViews>
    <sheetView showGridLines="0" zoomScale="120" zoomScaleNormal="120" workbookViewId="0">
      <pane xSplit="4" ySplit="5" topLeftCell="E10" activePane="bottomRight" state="frozen"/>
      <selection pane="topRight" activeCell="E1" sqref="E1"/>
      <selection pane="bottomLeft" activeCell="A6" sqref="A6"/>
      <selection pane="bottomRight" activeCell="A5" sqref="A5"/>
    </sheetView>
  </sheetViews>
  <sheetFormatPr baseColWidth="10" defaultColWidth="10.5" defaultRowHeight="16" x14ac:dyDescent="0.2"/>
  <cols>
    <col min="1" max="1" width="3" customWidth="1"/>
    <col min="2" max="2" width="40" customWidth="1"/>
    <col min="3" max="3" width="12" customWidth="1"/>
    <col min="4" max="4" width="11" customWidth="1"/>
    <col min="5" max="56" width="9.5" customWidth="1"/>
  </cols>
  <sheetData>
    <row r="2" spans="1:56" ht="17.25" customHeight="1" x14ac:dyDescent="0.25">
      <c r="B2" s="34" t="s">
        <v>90</v>
      </c>
    </row>
    <row r="5" spans="1:56" ht="15.75" customHeight="1" x14ac:dyDescent="0.2">
      <c r="A5" s="26"/>
      <c r="B5" s="27" t="s">
        <v>77</v>
      </c>
      <c r="C5" s="28"/>
      <c r="D5" s="28"/>
      <c r="E5" s="28">
        <v>1</v>
      </c>
      <c r="F5" s="28">
        <f t="shared" ref="F5:AK5" si="0">E5+1</f>
        <v>2</v>
      </c>
      <c r="G5" s="28">
        <f t="shared" si="0"/>
        <v>3</v>
      </c>
      <c r="H5" s="28">
        <f t="shared" si="0"/>
        <v>4</v>
      </c>
      <c r="I5" s="28">
        <f t="shared" si="0"/>
        <v>5</v>
      </c>
      <c r="J5" s="28">
        <f t="shared" si="0"/>
        <v>6</v>
      </c>
      <c r="K5" s="28">
        <f t="shared" si="0"/>
        <v>7</v>
      </c>
      <c r="L5" s="28">
        <f t="shared" si="0"/>
        <v>8</v>
      </c>
      <c r="M5" s="28">
        <f t="shared" si="0"/>
        <v>9</v>
      </c>
      <c r="N5" s="28">
        <f t="shared" si="0"/>
        <v>10</v>
      </c>
      <c r="O5" s="28">
        <f t="shared" si="0"/>
        <v>11</v>
      </c>
      <c r="P5" s="28">
        <f t="shared" si="0"/>
        <v>12</v>
      </c>
      <c r="Q5" s="28">
        <f t="shared" si="0"/>
        <v>13</v>
      </c>
      <c r="R5" s="28">
        <f t="shared" si="0"/>
        <v>14</v>
      </c>
      <c r="S5" s="28">
        <f t="shared" si="0"/>
        <v>15</v>
      </c>
      <c r="T5" s="28">
        <f t="shared" si="0"/>
        <v>16</v>
      </c>
      <c r="U5" s="28">
        <f t="shared" si="0"/>
        <v>17</v>
      </c>
      <c r="V5" s="28">
        <f t="shared" si="0"/>
        <v>18</v>
      </c>
      <c r="W5" s="28">
        <f t="shared" si="0"/>
        <v>19</v>
      </c>
      <c r="X5" s="28">
        <f t="shared" si="0"/>
        <v>20</v>
      </c>
      <c r="Y5" s="28">
        <f t="shared" si="0"/>
        <v>21</v>
      </c>
      <c r="Z5" s="28">
        <f t="shared" si="0"/>
        <v>22</v>
      </c>
      <c r="AA5" s="28">
        <f t="shared" si="0"/>
        <v>23</v>
      </c>
      <c r="AB5" s="28">
        <f t="shared" si="0"/>
        <v>24</v>
      </c>
      <c r="AC5" s="28">
        <f t="shared" si="0"/>
        <v>25</v>
      </c>
      <c r="AD5" s="28">
        <f t="shared" si="0"/>
        <v>26</v>
      </c>
      <c r="AE5" s="28">
        <f t="shared" si="0"/>
        <v>27</v>
      </c>
      <c r="AF5" s="28">
        <f t="shared" si="0"/>
        <v>28</v>
      </c>
      <c r="AG5" s="28">
        <f t="shared" si="0"/>
        <v>29</v>
      </c>
      <c r="AH5" s="28">
        <f t="shared" si="0"/>
        <v>30</v>
      </c>
      <c r="AI5" s="28">
        <f t="shared" si="0"/>
        <v>31</v>
      </c>
      <c r="AJ5" s="28">
        <f t="shared" si="0"/>
        <v>32</v>
      </c>
      <c r="AK5" s="28">
        <f t="shared" si="0"/>
        <v>33</v>
      </c>
      <c r="AL5" s="28">
        <f t="shared" ref="AL5:BD5" si="1">AK5+1</f>
        <v>34</v>
      </c>
      <c r="AM5" s="28">
        <f t="shared" si="1"/>
        <v>35</v>
      </c>
      <c r="AN5" s="28">
        <f t="shared" si="1"/>
        <v>36</v>
      </c>
      <c r="AO5" s="28">
        <f t="shared" si="1"/>
        <v>37</v>
      </c>
      <c r="AP5" s="28">
        <f t="shared" si="1"/>
        <v>38</v>
      </c>
      <c r="AQ5" s="28">
        <f t="shared" si="1"/>
        <v>39</v>
      </c>
      <c r="AR5" s="28">
        <f t="shared" si="1"/>
        <v>40</v>
      </c>
      <c r="AS5" s="28">
        <f t="shared" si="1"/>
        <v>41</v>
      </c>
      <c r="AT5" s="28">
        <f t="shared" si="1"/>
        <v>42</v>
      </c>
      <c r="AU5" s="28">
        <f t="shared" si="1"/>
        <v>43</v>
      </c>
      <c r="AV5" s="28">
        <f t="shared" si="1"/>
        <v>44</v>
      </c>
      <c r="AW5" s="28">
        <f t="shared" si="1"/>
        <v>45</v>
      </c>
      <c r="AX5" s="28">
        <f t="shared" si="1"/>
        <v>46</v>
      </c>
      <c r="AY5" s="28">
        <f t="shared" si="1"/>
        <v>47</v>
      </c>
      <c r="AZ5" s="28">
        <f t="shared" si="1"/>
        <v>48</v>
      </c>
      <c r="BA5" s="28">
        <f t="shared" si="1"/>
        <v>49</v>
      </c>
      <c r="BB5" s="28">
        <f t="shared" si="1"/>
        <v>50</v>
      </c>
      <c r="BC5" s="28">
        <f t="shared" si="1"/>
        <v>51</v>
      </c>
      <c r="BD5" s="28">
        <f t="shared" si="1"/>
        <v>52</v>
      </c>
    </row>
    <row r="6" spans="1:56" ht="15.75" customHeight="1" x14ac:dyDescent="0.2">
      <c r="A6" s="29"/>
      <c r="B6" s="30"/>
      <c r="C6" s="29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</row>
    <row r="7" spans="1:56" ht="15.75" customHeight="1" x14ac:dyDescent="0.2">
      <c r="A7" s="29"/>
      <c r="B7" s="30" t="s">
        <v>91</v>
      </c>
      <c r="C7" s="29"/>
      <c r="D7" s="29"/>
      <c r="E7" s="36">
        <v>0.5</v>
      </c>
      <c r="F7" s="36">
        <v>0.5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</row>
    <row r="8" spans="1:56" ht="15.75" customHeight="1" x14ac:dyDescent="0.2">
      <c r="A8" s="29"/>
      <c r="B8" s="30" t="s">
        <v>92</v>
      </c>
      <c r="C8" s="29"/>
      <c r="D8" s="29"/>
      <c r="E8" s="37">
        <f>(E7*Inputs!$C$9*Inputs!$C$13/1000000)</f>
        <v>20.5</v>
      </c>
      <c r="F8" s="37">
        <f>F7*Inputs!$C$9*Inputs!$C$13/1000000</f>
        <v>20.5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</row>
    <row r="9" spans="1:56" ht="15.75" customHeight="1" x14ac:dyDescent="0.2">
      <c r="A9" s="29"/>
      <c r="B9" s="30" t="s">
        <v>93</v>
      </c>
      <c r="C9" s="29"/>
      <c r="D9" s="37"/>
      <c r="E9" s="37">
        <f>E8</f>
        <v>20.5</v>
      </c>
      <c r="F9" s="37">
        <f>E9+F8</f>
        <v>41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</row>
    <row r="10" spans="1:56" ht="15.75" customHeight="1" x14ac:dyDescent="0.2">
      <c r="A10" s="29"/>
      <c r="B10" s="30"/>
      <c r="C10" s="29"/>
      <c r="D10" s="37"/>
      <c r="E10" s="37"/>
      <c r="F10" s="37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</row>
    <row r="11" spans="1:56" ht="15.75" customHeight="1" x14ac:dyDescent="0.2">
      <c r="A11" s="29"/>
      <c r="B11" s="30" t="s">
        <v>94</v>
      </c>
      <c r="C11" s="38"/>
      <c r="D11" s="37"/>
      <c r="E11" s="39">
        <v>0.33</v>
      </c>
      <c r="F11" s="37">
        <v>0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</row>
    <row r="12" spans="1:56" ht="15.75" customHeight="1" x14ac:dyDescent="0.2">
      <c r="A12" s="29"/>
      <c r="B12" s="30" t="s">
        <v>95</v>
      </c>
      <c r="C12" s="29"/>
      <c r="D12" s="29"/>
      <c r="E12" s="39">
        <v>1.57</v>
      </c>
      <c r="F12" s="37">
        <v>0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</row>
    <row r="13" spans="1:56" ht="15.75" customHeight="1" x14ac:dyDescent="0.2">
      <c r="A13" s="29"/>
      <c r="B13" s="30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</row>
    <row r="14" spans="1:56" ht="15.75" customHeight="1" x14ac:dyDescent="0.2">
      <c r="A14" s="29"/>
      <c r="B14" s="30" t="s">
        <v>96</v>
      </c>
      <c r="C14" s="29"/>
      <c r="D14" s="29"/>
      <c r="E14" s="37">
        <f>(E8)*Inputs!$C$18</f>
        <v>15.375</v>
      </c>
      <c r="F14" s="37">
        <f>(F8)*Inputs!$C$18</f>
        <v>15.375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</row>
    <row r="15" spans="1:56" ht="15.75" customHeight="1" x14ac:dyDescent="0.2">
      <c r="A15" s="29"/>
      <c r="B15" s="30" t="s">
        <v>97</v>
      </c>
      <c r="C15" s="29"/>
      <c r="D15" s="29"/>
      <c r="E15" s="37">
        <f>(E8*(1-Inputs!C18))+(E11+E12+E20+F20)</f>
        <v>7.769554916335812</v>
      </c>
      <c r="F15" s="37">
        <f>(F8+F11+F12)*(1-Inputs!$C$18)</f>
        <v>5.125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</row>
    <row r="16" spans="1:56" ht="15.75" customHeight="1" x14ac:dyDescent="0.2">
      <c r="A16" s="29"/>
      <c r="B16" s="30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</row>
    <row r="17" spans="1:56" ht="15.75" customHeight="1" x14ac:dyDescent="0.2">
      <c r="A17" s="29"/>
      <c r="B17" s="30" t="s">
        <v>98</v>
      </c>
      <c r="C17" s="29"/>
      <c r="D17" s="29"/>
      <c r="E17" s="29">
        <v>0</v>
      </c>
      <c r="F17" s="37">
        <f>E24</f>
        <v>15.559260003742956</v>
      </c>
      <c r="G17" s="37">
        <f>F24</f>
        <v>31.494554916335812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</row>
    <row r="18" spans="1:56" ht="15.75" customHeight="1" x14ac:dyDescent="0.2">
      <c r="A18" s="29"/>
      <c r="B18" s="30" t="s">
        <v>99</v>
      </c>
      <c r="C18" s="29"/>
      <c r="D18" s="29"/>
      <c r="E18" s="37">
        <f>E14</f>
        <v>15.375</v>
      </c>
      <c r="F18" s="37">
        <f>F14</f>
        <v>15.375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1:56" ht="15.75" customHeight="1" x14ac:dyDescent="0.2">
      <c r="A19" s="29"/>
      <c r="B19" s="30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</row>
    <row r="20" spans="1:56" ht="15.75" customHeight="1" x14ac:dyDescent="0.2">
      <c r="A20" s="29"/>
      <c r="B20" s="30" t="s">
        <v>100</v>
      </c>
      <c r="C20" s="29"/>
      <c r="D20" s="29"/>
      <c r="E20" s="39">
        <v>0.18426000374295601</v>
      </c>
      <c r="F20" s="39">
        <v>0.56029491259285602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 spans="1:56" ht="15.75" customHeight="1" x14ac:dyDescent="0.2">
      <c r="A21" s="29"/>
      <c r="B21" s="30" t="s">
        <v>101</v>
      </c>
      <c r="C21" s="29"/>
      <c r="D21" s="29"/>
      <c r="E21" s="37">
        <f>(E17+E24)/2*Inputs!C21*Timing!E8</f>
        <v>0.18426000374295598</v>
      </c>
      <c r="F21" s="37">
        <f>(F17+F24)/2*Inputs!C21*Timing!F8</f>
        <v>0.56029491259285569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 spans="1:56" ht="15.75" customHeight="1" x14ac:dyDescent="0.2">
      <c r="A22" s="29"/>
      <c r="B22" s="30" t="s">
        <v>102</v>
      </c>
      <c r="C22" s="29"/>
      <c r="D22" s="29"/>
      <c r="E22" s="40">
        <f>E21-E20</f>
        <v>0</v>
      </c>
      <c r="F22" s="41">
        <f>F21-F20</f>
        <v>0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 spans="1:56" ht="15.75" customHeight="1" x14ac:dyDescent="0.2">
      <c r="A23" s="29"/>
      <c r="B23" s="30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</row>
    <row r="24" spans="1:56" ht="15.75" customHeight="1" x14ac:dyDescent="0.2">
      <c r="A24" s="29"/>
      <c r="B24" s="30" t="s">
        <v>103</v>
      </c>
      <c r="C24" s="29"/>
      <c r="D24" s="29"/>
      <c r="E24" s="37">
        <f>E18+E20+E17</f>
        <v>15.559260003742956</v>
      </c>
      <c r="F24" s="37">
        <f>F17+F20+F18</f>
        <v>31.494554916335812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</row>
    <row r="25" spans="1:56" ht="15.75" customHeight="1" x14ac:dyDescent="0.2">
      <c r="A25" s="29"/>
      <c r="B25" s="30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</row>
    <row r="26" spans="1:56" ht="15.75" customHeight="1" x14ac:dyDescent="0.2">
      <c r="A26" s="29"/>
      <c r="B26" s="30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</row>
    <row r="27" spans="1:56" ht="15.75" customHeight="1" x14ac:dyDescent="0.2">
      <c r="A27" s="29"/>
      <c r="B27" s="27" t="s">
        <v>104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</row>
    <row r="28" spans="1:56" ht="15.75" customHeight="1" x14ac:dyDescent="0.2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</row>
    <row r="29" spans="1:56" ht="15.75" customHeight="1" x14ac:dyDescent="0.2">
      <c r="A29" s="29"/>
      <c r="B29" s="27" t="s">
        <v>105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</row>
    <row r="30" spans="1:56" ht="15.75" customHeight="1" x14ac:dyDescent="0.2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</row>
    <row r="31" spans="1:56" ht="15.75" customHeight="1" x14ac:dyDescent="0.2">
      <c r="A31" s="29"/>
      <c r="B31" s="30" t="s">
        <v>36</v>
      </c>
      <c r="C31" s="37">
        <f>SUM(E8:F8)</f>
        <v>41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</row>
    <row r="32" spans="1:56" ht="15.75" customHeight="1" x14ac:dyDescent="0.2">
      <c r="A32" s="29"/>
      <c r="B32" s="30" t="s">
        <v>106</v>
      </c>
      <c r="C32" s="37">
        <f>SUM(E20:F20)</f>
        <v>0.74455491633581206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</row>
    <row r="33" spans="1:56" ht="15.75" customHeight="1" x14ac:dyDescent="0.2">
      <c r="A33" s="29"/>
      <c r="B33" s="30" t="s">
        <v>94</v>
      </c>
      <c r="C33" s="37">
        <f>E11</f>
        <v>0.33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</row>
    <row r="34" spans="1:56" ht="15.75" customHeight="1" x14ac:dyDescent="0.2">
      <c r="A34" s="29"/>
      <c r="B34" s="30" t="s">
        <v>107</v>
      </c>
      <c r="C34" s="37">
        <f>E12</f>
        <v>1.57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</row>
    <row r="35" spans="1:56" ht="15.75" customHeight="1" x14ac:dyDescent="0.2">
      <c r="A35" s="29"/>
      <c r="B35" s="30"/>
      <c r="C35" s="29"/>
      <c r="D35" s="37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</row>
    <row r="36" spans="1:56" ht="15.75" customHeight="1" x14ac:dyDescent="0.2">
      <c r="A36" s="29"/>
      <c r="B36" s="42" t="s">
        <v>108</v>
      </c>
      <c r="C36" s="43">
        <f>SUM(C31:C34)</f>
        <v>43.644554916335814</v>
      </c>
      <c r="D36" s="37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</row>
    <row r="37" spans="1:56" ht="15.75" customHeight="1" x14ac:dyDescent="0.2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</row>
    <row r="38" spans="1:56" ht="15.75" customHeight="1" x14ac:dyDescent="0.2">
      <c r="A38" s="29"/>
      <c r="B38" s="30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</row>
    <row r="39" spans="1:56" ht="15.75" customHeight="1" x14ac:dyDescent="0.2">
      <c r="A39" s="29"/>
      <c r="B39" s="27" t="s">
        <v>109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</row>
    <row r="40" spans="1:56" ht="15.75" customHeight="1" x14ac:dyDescent="0.2">
      <c r="A40" s="29"/>
      <c r="B40" s="30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</row>
    <row r="41" spans="1:56" ht="15.75" customHeight="1" x14ac:dyDescent="0.2">
      <c r="A41" s="29"/>
      <c r="B41" s="30" t="s">
        <v>110</v>
      </c>
      <c r="C41" s="37">
        <f>Debt!C22</f>
        <v>30.75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</row>
    <row r="42" spans="1:56" ht="15.75" customHeight="1" x14ac:dyDescent="0.2">
      <c r="A42" s="29"/>
      <c r="B42" s="30" t="s">
        <v>16</v>
      </c>
      <c r="C42" s="37">
        <f>SUM(E15:F15)</f>
        <v>12.894554916335812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</row>
    <row r="43" spans="1:56" ht="15.75" customHeight="1" x14ac:dyDescent="0.2">
      <c r="A43" s="29"/>
      <c r="B43" s="30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</row>
    <row r="44" spans="1:56" ht="15.75" customHeight="1" x14ac:dyDescent="0.2">
      <c r="A44" s="29"/>
      <c r="B44" s="42" t="s">
        <v>111</v>
      </c>
      <c r="C44" s="43">
        <f>SUM(C41:C42)</f>
        <v>43.644554916335814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</row>
    <row r="45" spans="1:56" ht="15.75" customHeight="1" x14ac:dyDescent="0.2">
      <c r="A45" s="29"/>
      <c r="B45" s="30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</row>
    <row r="46" spans="1:56" ht="15.75" customHeight="1" x14ac:dyDescent="0.2">
      <c r="A46" s="29"/>
      <c r="B46" s="30" t="s">
        <v>112</v>
      </c>
      <c r="C46" s="37">
        <f>C36-C44</f>
        <v>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</row>
  </sheetData>
  <pageMargins left="0.7" right="0.7" top="0.75" bottom="0.75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BD38"/>
  <sheetViews>
    <sheetView showGridLines="0" zoomScale="120" zoomScaleNormal="12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5" sqref="A5"/>
    </sheetView>
  </sheetViews>
  <sheetFormatPr baseColWidth="10" defaultColWidth="10.5" defaultRowHeight="16" x14ac:dyDescent="0.2"/>
  <cols>
    <col min="1" max="1" width="3" customWidth="1"/>
    <col min="2" max="2" width="40" customWidth="1"/>
    <col min="3" max="3" width="12" customWidth="1"/>
    <col min="4" max="4" width="11" customWidth="1"/>
    <col min="5" max="56" width="9.5" customWidth="1"/>
  </cols>
  <sheetData>
    <row r="2" spans="1:56" ht="17.25" customHeight="1" x14ac:dyDescent="0.25">
      <c r="B2" s="34" t="s">
        <v>113</v>
      </c>
    </row>
    <row r="5" spans="1:56" ht="15.75" customHeight="1" x14ac:dyDescent="0.2">
      <c r="A5" s="26"/>
      <c r="B5" s="27" t="s">
        <v>77</v>
      </c>
      <c r="C5" s="28"/>
      <c r="D5" s="28"/>
      <c r="E5" s="28">
        <v>1</v>
      </c>
      <c r="F5" s="28">
        <f t="shared" ref="F5:AK5" si="0">E5+1</f>
        <v>2</v>
      </c>
      <c r="G5" s="28">
        <f t="shared" si="0"/>
        <v>3</v>
      </c>
      <c r="H5" s="28">
        <f t="shared" si="0"/>
        <v>4</v>
      </c>
      <c r="I5" s="28">
        <f t="shared" si="0"/>
        <v>5</v>
      </c>
      <c r="J5" s="28">
        <f t="shared" si="0"/>
        <v>6</v>
      </c>
      <c r="K5" s="28">
        <f t="shared" si="0"/>
        <v>7</v>
      </c>
      <c r="L5" s="28">
        <f t="shared" si="0"/>
        <v>8</v>
      </c>
      <c r="M5" s="28">
        <f t="shared" si="0"/>
        <v>9</v>
      </c>
      <c r="N5" s="28">
        <f t="shared" si="0"/>
        <v>10</v>
      </c>
      <c r="O5" s="28">
        <f t="shared" si="0"/>
        <v>11</v>
      </c>
      <c r="P5" s="28">
        <f t="shared" si="0"/>
        <v>12</v>
      </c>
      <c r="Q5" s="28">
        <f t="shared" si="0"/>
        <v>13</v>
      </c>
      <c r="R5" s="28">
        <f t="shared" si="0"/>
        <v>14</v>
      </c>
      <c r="S5" s="28">
        <f t="shared" si="0"/>
        <v>15</v>
      </c>
      <c r="T5" s="28">
        <f t="shared" si="0"/>
        <v>16</v>
      </c>
      <c r="U5" s="28">
        <f t="shared" si="0"/>
        <v>17</v>
      </c>
      <c r="V5" s="28">
        <f t="shared" si="0"/>
        <v>18</v>
      </c>
      <c r="W5" s="28">
        <f t="shared" si="0"/>
        <v>19</v>
      </c>
      <c r="X5" s="28">
        <f t="shared" si="0"/>
        <v>20</v>
      </c>
      <c r="Y5" s="28">
        <f t="shared" si="0"/>
        <v>21</v>
      </c>
      <c r="Z5" s="28">
        <f t="shared" si="0"/>
        <v>22</v>
      </c>
      <c r="AA5" s="28">
        <f t="shared" si="0"/>
        <v>23</v>
      </c>
      <c r="AB5" s="28">
        <f t="shared" si="0"/>
        <v>24</v>
      </c>
      <c r="AC5" s="28">
        <f t="shared" si="0"/>
        <v>25</v>
      </c>
      <c r="AD5" s="28">
        <f t="shared" si="0"/>
        <v>26</v>
      </c>
      <c r="AE5" s="28">
        <f t="shared" si="0"/>
        <v>27</v>
      </c>
      <c r="AF5" s="28">
        <f t="shared" si="0"/>
        <v>28</v>
      </c>
      <c r="AG5" s="28">
        <f t="shared" si="0"/>
        <v>29</v>
      </c>
      <c r="AH5" s="28">
        <f t="shared" si="0"/>
        <v>30</v>
      </c>
      <c r="AI5" s="28">
        <f t="shared" si="0"/>
        <v>31</v>
      </c>
      <c r="AJ5" s="28">
        <f t="shared" si="0"/>
        <v>32</v>
      </c>
      <c r="AK5" s="28">
        <f t="shared" si="0"/>
        <v>33</v>
      </c>
      <c r="AL5" s="28">
        <f t="shared" ref="AL5:BD5" si="1">AK5+1</f>
        <v>34</v>
      </c>
      <c r="AM5" s="28">
        <f t="shared" si="1"/>
        <v>35</v>
      </c>
      <c r="AN5" s="28">
        <f t="shared" si="1"/>
        <v>36</v>
      </c>
      <c r="AO5" s="28">
        <f t="shared" si="1"/>
        <v>37</v>
      </c>
      <c r="AP5" s="28">
        <f t="shared" si="1"/>
        <v>38</v>
      </c>
      <c r="AQ5" s="28">
        <f t="shared" si="1"/>
        <v>39</v>
      </c>
      <c r="AR5" s="28">
        <f t="shared" si="1"/>
        <v>40</v>
      </c>
      <c r="AS5" s="28">
        <f t="shared" si="1"/>
        <v>41</v>
      </c>
      <c r="AT5" s="28">
        <f t="shared" si="1"/>
        <v>42</v>
      </c>
      <c r="AU5" s="28">
        <f t="shared" si="1"/>
        <v>43</v>
      </c>
      <c r="AV5" s="28">
        <f t="shared" si="1"/>
        <v>44</v>
      </c>
      <c r="AW5" s="28">
        <f t="shared" si="1"/>
        <v>45</v>
      </c>
      <c r="AX5" s="28">
        <f t="shared" si="1"/>
        <v>46</v>
      </c>
      <c r="AY5" s="28">
        <f t="shared" si="1"/>
        <v>47</v>
      </c>
      <c r="AZ5" s="28">
        <f t="shared" si="1"/>
        <v>48</v>
      </c>
      <c r="BA5" s="28">
        <f t="shared" si="1"/>
        <v>49</v>
      </c>
      <c r="BB5" s="28">
        <f t="shared" si="1"/>
        <v>50</v>
      </c>
      <c r="BC5" s="28">
        <f t="shared" si="1"/>
        <v>51</v>
      </c>
      <c r="BD5" s="28">
        <f t="shared" si="1"/>
        <v>52</v>
      </c>
    </row>
    <row r="6" spans="1:56" ht="15.75" customHeight="1" x14ac:dyDescent="0.2">
      <c r="A6" s="29"/>
      <c r="B6" s="30" t="s">
        <v>85</v>
      </c>
      <c r="C6" s="29"/>
      <c r="D6" s="29"/>
      <c r="E6" s="29">
        <f>Timing!E13</f>
        <v>0</v>
      </c>
      <c r="F6" s="29">
        <f>Timing!F13</f>
        <v>0</v>
      </c>
      <c r="G6" s="29">
        <f>Timing!G13</f>
        <v>1</v>
      </c>
      <c r="H6" s="29">
        <f>Timing!H13</f>
        <v>1</v>
      </c>
      <c r="I6" s="29">
        <f>Timing!I13</f>
        <v>2</v>
      </c>
      <c r="J6" s="29">
        <f>Timing!J13</f>
        <v>2</v>
      </c>
      <c r="K6" s="29">
        <f>Timing!K13</f>
        <v>3</v>
      </c>
      <c r="L6" s="29">
        <f>Timing!L13</f>
        <v>3</v>
      </c>
      <c r="M6" s="29">
        <f>Timing!M13</f>
        <v>4</v>
      </c>
      <c r="N6" s="29">
        <f>Timing!N13</f>
        <v>4</v>
      </c>
      <c r="O6" s="29">
        <f>Timing!O13</f>
        <v>5</v>
      </c>
      <c r="P6" s="29">
        <f>Timing!P13</f>
        <v>5</v>
      </c>
      <c r="Q6" s="29">
        <f>Timing!Q13</f>
        <v>6</v>
      </c>
      <c r="R6" s="29">
        <f>Timing!R13</f>
        <v>6</v>
      </c>
      <c r="S6" s="29">
        <f>Timing!S13</f>
        <v>7</v>
      </c>
      <c r="T6" s="29">
        <f>Timing!T13</f>
        <v>7</v>
      </c>
      <c r="U6" s="29">
        <f>Timing!U13</f>
        <v>8</v>
      </c>
      <c r="V6" s="29">
        <f>Timing!V13</f>
        <v>8</v>
      </c>
      <c r="W6" s="29">
        <f>Timing!W13</f>
        <v>9</v>
      </c>
      <c r="X6" s="29">
        <f>Timing!X13</f>
        <v>9</v>
      </c>
      <c r="Y6" s="29">
        <f>Timing!Y13</f>
        <v>10</v>
      </c>
      <c r="Z6" s="29">
        <f>Timing!Z13</f>
        <v>10</v>
      </c>
      <c r="AA6" s="29">
        <f>Timing!AA13</f>
        <v>11</v>
      </c>
      <c r="AB6" s="29">
        <f>Timing!AB13</f>
        <v>11</v>
      </c>
      <c r="AC6" s="29">
        <f>Timing!AC13</f>
        <v>12</v>
      </c>
      <c r="AD6" s="29">
        <f>Timing!AD13</f>
        <v>12</v>
      </c>
      <c r="AE6" s="29">
        <f>Timing!AE13</f>
        <v>13</v>
      </c>
      <c r="AF6" s="29">
        <f>Timing!AF13</f>
        <v>13</v>
      </c>
      <c r="AG6" s="29">
        <f>Timing!AG13</f>
        <v>14</v>
      </c>
      <c r="AH6" s="29">
        <f>Timing!AH13</f>
        <v>14</v>
      </c>
      <c r="AI6" s="29">
        <f>Timing!AI13</f>
        <v>15</v>
      </c>
      <c r="AJ6" s="29">
        <f>Timing!AJ13</f>
        <v>15</v>
      </c>
      <c r="AK6" s="29">
        <f>Timing!AK13</f>
        <v>16</v>
      </c>
      <c r="AL6" s="29">
        <f>Timing!AL13</f>
        <v>16</v>
      </c>
      <c r="AM6" s="29">
        <f>Timing!AM13</f>
        <v>17</v>
      </c>
      <c r="AN6" s="29">
        <f>Timing!AN13</f>
        <v>17</v>
      </c>
      <c r="AO6" s="29">
        <f>Timing!AO13</f>
        <v>18</v>
      </c>
      <c r="AP6" s="29">
        <f>Timing!AP13</f>
        <v>18</v>
      </c>
      <c r="AQ6" s="29">
        <f>Timing!AQ13</f>
        <v>19</v>
      </c>
      <c r="AR6" s="29">
        <f>Timing!AR13</f>
        <v>19</v>
      </c>
      <c r="AS6" s="29">
        <f>Timing!AS13</f>
        <v>20</v>
      </c>
      <c r="AT6" s="29">
        <f>Timing!AT13</f>
        <v>20</v>
      </c>
      <c r="AU6" s="29">
        <f>Timing!AU13</f>
        <v>21</v>
      </c>
      <c r="AV6" s="29">
        <f>Timing!AV13</f>
        <v>21</v>
      </c>
      <c r="AW6" s="29">
        <f>Timing!AW13</f>
        <v>22</v>
      </c>
      <c r="AX6" s="29">
        <f>Timing!AX13</f>
        <v>22</v>
      </c>
      <c r="AY6" s="29">
        <f>Timing!AY13</f>
        <v>23</v>
      </c>
      <c r="AZ6" s="29">
        <f>Timing!AZ13</f>
        <v>23</v>
      </c>
      <c r="BA6" s="29">
        <f>Timing!BA13</f>
        <v>24</v>
      </c>
      <c r="BB6" s="29">
        <f>Timing!BB13</f>
        <v>24</v>
      </c>
      <c r="BC6" s="29">
        <f>Timing!BC13</f>
        <v>25</v>
      </c>
      <c r="BD6" s="29">
        <f>Timing!BD13</f>
        <v>25</v>
      </c>
    </row>
    <row r="7" spans="1:56" ht="15.75" customHeight="1" x14ac:dyDescent="0.2">
      <c r="A7" s="29"/>
      <c r="B7" s="30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</row>
    <row r="8" spans="1:56" ht="15.75" customHeight="1" x14ac:dyDescent="0.2">
      <c r="A8" s="29"/>
      <c r="B8" s="27" t="s">
        <v>114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</row>
    <row r="9" spans="1:56" ht="15.75" customHeight="1" x14ac:dyDescent="0.2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</row>
    <row r="10" spans="1:56" ht="15.75" customHeight="1" x14ac:dyDescent="0.2">
      <c r="A10" s="29"/>
      <c r="B10" s="30" t="s">
        <v>115</v>
      </c>
      <c r="C10" s="29"/>
      <c r="D10" s="29"/>
      <c r="E10" s="44">
        <f>IF(Operations!E6&gt;0,(1-Inputs!$C$11)^(Operations!E6-1),0)</f>
        <v>0</v>
      </c>
      <c r="F10" s="44">
        <f>IF(Operations!F6&gt;0,(1-Inputs!$C$11)^(Operations!F6-1),0)</f>
        <v>0</v>
      </c>
      <c r="G10" s="44">
        <f>IF(Operations!G6&gt;0,(1-Inputs!$C$11)^(Operations!G6-1),0)</f>
        <v>1</v>
      </c>
      <c r="H10" s="44">
        <f>IF(Operations!H6&gt;0,(1-Inputs!$C$11)^(Operations!H6-1),0)</f>
        <v>1</v>
      </c>
      <c r="I10" s="44">
        <f>IF(Operations!I6&gt;0,(1-Inputs!$C$11)^(Operations!I6-1),0)</f>
        <v>0.995</v>
      </c>
      <c r="J10" s="44">
        <f>IF(Operations!J6&gt;0,(1-Inputs!$C$11)^(Operations!J6-1),0)</f>
        <v>0.995</v>
      </c>
      <c r="K10" s="44">
        <f>IF(Operations!K6&gt;0,(1-Inputs!$C$11)^(Operations!K6-1),0)</f>
        <v>0.99002500000000004</v>
      </c>
      <c r="L10" s="44">
        <f>IF(Operations!L6&gt;0,(1-Inputs!$C$11)^(Operations!L6-1),0)</f>
        <v>0.99002500000000004</v>
      </c>
      <c r="M10" s="44">
        <f>IF(Operations!M6&gt;0,(1-Inputs!$C$11)^(Operations!M6-1),0)</f>
        <v>0.98507487500000002</v>
      </c>
      <c r="N10" s="44">
        <f>IF(Operations!N6&gt;0,(1-Inputs!$C$11)^(Operations!N6-1),0)</f>
        <v>0.98507487500000002</v>
      </c>
      <c r="O10" s="44">
        <f>IF(Operations!O6&gt;0,(1-Inputs!$C$11)^(Operations!O6-1),0)</f>
        <v>0.98014950062500006</v>
      </c>
      <c r="P10" s="44">
        <f>IF(Operations!P6&gt;0,(1-Inputs!$C$11)^(Operations!P6-1),0)</f>
        <v>0.98014950062500006</v>
      </c>
      <c r="Q10" s="44">
        <f>IF(Operations!Q6&gt;0,(1-Inputs!$C$11)^(Operations!Q6-1),0)</f>
        <v>0.97524875312187509</v>
      </c>
      <c r="R10" s="44">
        <f>IF(Operations!R6&gt;0,(1-Inputs!$C$11)^(Operations!R6-1),0)</f>
        <v>0.97524875312187509</v>
      </c>
      <c r="S10" s="44">
        <f>IF(Operations!S6&gt;0,(1-Inputs!$C$11)^(Operations!S6-1),0)</f>
        <v>0.97037250935626573</v>
      </c>
      <c r="T10" s="44">
        <f>IF(Operations!T6&gt;0,(1-Inputs!$C$11)^(Operations!T6-1),0)</f>
        <v>0.97037250935626573</v>
      </c>
      <c r="U10" s="44">
        <f>IF(Operations!U6&gt;0,(1-Inputs!$C$11)^(Operations!U6-1),0)</f>
        <v>0.96552064680948435</v>
      </c>
      <c r="V10" s="44">
        <f>IF(Operations!V6&gt;0,(1-Inputs!$C$11)^(Operations!V6-1),0)</f>
        <v>0.96552064680948435</v>
      </c>
      <c r="W10" s="44">
        <f>IF(Operations!W6&gt;0,(1-Inputs!$C$11)^(Operations!W6-1),0)</f>
        <v>0.96069304357543694</v>
      </c>
      <c r="X10" s="44">
        <f>IF(Operations!X6&gt;0,(1-Inputs!$C$11)^(Operations!X6-1),0)</f>
        <v>0.96069304357543694</v>
      </c>
      <c r="Y10" s="44">
        <f>IF(Operations!Y6&gt;0,(1-Inputs!$C$11)^(Operations!Y6-1),0)</f>
        <v>0.95588957835755972</v>
      </c>
      <c r="Z10" s="44">
        <f>IF(Operations!Z6&gt;0,(1-Inputs!$C$11)^(Operations!Z6-1),0)</f>
        <v>0.95588957835755972</v>
      </c>
      <c r="AA10" s="44">
        <f>IF(Operations!AA6&gt;0,(1-Inputs!$C$11)^(Operations!AA6-1),0)</f>
        <v>0.95111013046577197</v>
      </c>
      <c r="AB10" s="44">
        <f>IF(Operations!AB6&gt;0,(1-Inputs!$C$11)^(Operations!AB6-1),0)</f>
        <v>0.95111013046577197</v>
      </c>
      <c r="AC10" s="44">
        <f>IF(Operations!AC6&gt;0,(1-Inputs!$C$11)^(Operations!AC6-1),0)</f>
        <v>0.94635457981344306</v>
      </c>
      <c r="AD10" s="44">
        <f>IF(Operations!AD6&gt;0,(1-Inputs!$C$11)^(Operations!AD6-1),0)</f>
        <v>0.94635457981344306</v>
      </c>
      <c r="AE10" s="44">
        <f>IF(Operations!AE6&gt;0,(1-Inputs!$C$11)^(Operations!AE6-1),0)</f>
        <v>0.94162280691437594</v>
      </c>
      <c r="AF10" s="44">
        <f>IF(Operations!AF6&gt;0,(1-Inputs!$C$11)^(Operations!AF6-1),0)</f>
        <v>0.94162280691437594</v>
      </c>
      <c r="AG10" s="44">
        <f>IF(Operations!AG6&gt;0,(1-Inputs!$C$11)^(Operations!AG6-1),0)</f>
        <v>0.93691469287980411</v>
      </c>
      <c r="AH10" s="44">
        <f>IF(Operations!AH6&gt;0,(1-Inputs!$C$11)^(Operations!AH6-1),0)</f>
        <v>0.93691469287980411</v>
      </c>
      <c r="AI10" s="44">
        <f>IF(Operations!AI6&gt;0,(1-Inputs!$C$11)^(Operations!AI6-1),0)</f>
        <v>0.93223011941540512</v>
      </c>
      <c r="AJ10" s="44">
        <f>IF(Operations!AJ6&gt;0,(1-Inputs!$C$11)^(Operations!AJ6-1),0)</f>
        <v>0.93223011941540512</v>
      </c>
      <c r="AK10" s="44">
        <f>IF(Operations!AK6&gt;0,(1-Inputs!$C$11)^(Operations!AK6-1),0)</f>
        <v>0.92756896881832807</v>
      </c>
      <c r="AL10" s="44">
        <f>IF(Operations!AL6&gt;0,(1-Inputs!$C$11)^(Operations!AL6-1),0)</f>
        <v>0.92756896881832807</v>
      </c>
      <c r="AM10" s="44">
        <f>IF(Operations!AM6&gt;0,(1-Inputs!$C$11)^(Operations!AM6-1),0)</f>
        <v>0.92293112397423638</v>
      </c>
      <c r="AN10" s="44">
        <f>IF(Operations!AN6&gt;0,(1-Inputs!$C$11)^(Operations!AN6-1),0)</f>
        <v>0.92293112397423638</v>
      </c>
      <c r="AO10" s="44">
        <f>IF(Operations!AO6&gt;0,(1-Inputs!$C$11)^(Operations!AO6-1),0)</f>
        <v>0.9183164683543652</v>
      </c>
      <c r="AP10" s="44">
        <f>IF(Operations!AP6&gt;0,(1-Inputs!$C$11)^(Operations!AP6-1),0)</f>
        <v>0.9183164683543652</v>
      </c>
      <c r="AQ10" s="44">
        <f>IF(Operations!AQ6&gt;0,(1-Inputs!$C$11)^(Operations!AQ6-1),0)</f>
        <v>0.91372488601259338</v>
      </c>
      <c r="AR10" s="44">
        <f>IF(Operations!AR6&gt;0,(1-Inputs!$C$11)^(Operations!AR6-1),0)</f>
        <v>0.91372488601259338</v>
      </c>
      <c r="AS10" s="44">
        <f>IF(Operations!AS6&gt;0,(1-Inputs!$C$11)^(Operations!AS6-1),0)</f>
        <v>0.90915626158253038</v>
      </c>
      <c r="AT10" s="44">
        <f>IF(Operations!AT6&gt;0,(1-Inputs!$C$11)^(Operations!AT6-1),0)</f>
        <v>0.90915626158253038</v>
      </c>
      <c r="AU10" s="44">
        <f>IF(Operations!AU6&gt;0,(1-Inputs!$C$11)^(Operations!AU6-1),0)</f>
        <v>0.90461048027461777</v>
      </c>
      <c r="AV10" s="44">
        <f>IF(Operations!AV6&gt;0,(1-Inputs!$C$11)^(Operations!AV6-1),0)</f>
        <v>0.90461048027461777</v>
      </c>
      <c r="AW10" s="44">
        <f>IF(Operations!AW6&gt;0,(1-Inputs!$C$11)^(Operations!AW6-1),0)</f>
        <v>0.90008742787324469</v>
      </c>
      <c r="AX10" s="44">
        <f>IF(Operations!AX6&gt;0,(1-Inputs!$C$11)^(Operations!AX6-1),0)</f>
        <v>0.90008742787324469</v>
      </c>
      <c r="AY10" s="44">
        <f>IF(Operations!AY6&gt;0,(1-Inputs!$C$11)^(Operations!AY6-1),0)</f>
        <v>0.89558699073387849</v>
      </c>
      <c r="AZ10" s="44">
        <f>IF(Operations!AZ6&gt;0,(1-Inputs!$C$11)^(Operations!AZ6-1),0)</f>
        <v>0.89558699073387849</v>
      </c>
      <c r="BA10" s="44">
        <f>IF(Operations!BA6&gt;0,(1-Inputs!$C$11)^(Operations!BA6-1),0)</f>
        <v>0.89110905578020905</v>
      </c>
      <c r="BB10" s="44">
        <f>IF(Operations!BB6&gt;0,(1-Inputs!$C$11)^(Operations!BB6-1),0)</f>
        <v>0.89110905578020905</v>
      </c>
      <c r="BC10" s="44">
        <f>IF(Operations!BC6&gt;0,(1-Inputs!$C$11)^(Operations!BC6-1),0)</f>
        <v>0.88665351050130803</v>
      </c>
      <c r="BD10" s="44">
        <f>IF(Operations!BD6&gt;0,(1-Inputs!$C$11)^(Operations!BD6-1),0)</f>
        <v>0.88665351050130803</v>
      </c>
    </row>
    <row r="11" spans="1:56" ht="15.75" customHeight="1" x14ac:dyDescent="0.2">
      <c r="A11" s="29"/>
      <c r="B11" s="30" t="s">
        <v>116</v>
      </c>
      <c r="C11" s="29"/>
      <c r="D11" s="29"/>
      <c r="E11" s="36">
        <v>0.52</v>
      </c>
      <c r="F11" s="36">
        <v>0.48</v>
      </c>
      <c r="G11" s="36">
        <v>0.52</v>
      </c>
      <c r="H11" s="36">
        <v>0.48</v>
      </c>
      <c r="I11" s="36">
        <v>0.52</v>
      </c>
      <c r="J11" s="36">
        <v>0.48</v>
      </c>
      <c r="K11" s="36">
        <v>0.52</v>
      </c>
      <c r="L11" s="36">
        <v>0.48</v>
      </c>
      <c r="M11" s="36">
        <v>0.52</v>
      </c>
      <c r="N11" s="36">
        <v>0.48</v>
      </c>
      <c r="O11" s="36">
        <v>0.52</v>
      </c>
      <c r="P11" s="36">
        <v>0.48</v>
      </c>
      <c r="Q11" s="36">
        <v>0.52</v>
      </c>
      <c r="R11" s="36">
        <v>0.48</v>
      </c>
      <c r="S11" s="36">
        <v>0.52</v>
      </c>
      <c r="T11" s="36">
        <v>0.48</v>
      </c>
      <c r="U11" s="36">
        <v>0.52</v>
      </c>
      <c r="V11" s="36">
        <v>0.48</v>
      </c>
      <c r="W11" s="36">
        <v>0.52</v>
      </c>
      <c r="X11" s="36">
        <v>0.48</v>
      </c>
      <c r="Y11" s="36">
        <v>0.52</v>
      </c>
      <c r="Z11" s="36">
        <v>0.48</v>
      </c>
      <c r="AA11" s="36">
        <v>0.52</v>
      </c>
      <c r="AB11" s="36">
        <v>0.48</v>
      </c>
      <c r="AC11" s="36">
        <v>0.52</v>
      </c>
      <c r="AD11" s="36">
        <v>0.48</v>
      </c>
      <c r="AE11" s="36">
        <v>0.52</v>
      </c>
      <c r="AF11" s="36">
        <v>0.48</v>
      </c>
      <c r="AG11" s="36">
        <v>0.52</v>
      </c>
      <c r="AH11" s="36">
        <v>0.48</v>
      </c>
      <c r="AI11" s="36">
        <v>0.52</v>
      </c>
      <c r="AJ11" s="36">
        <v>0.48</v>
      </c>
      <c r="AK11" s="36">
        <v>0.52</v>
      </c>
      <c r="AL11" s="36">
        <v>0.48</v>
      </c>
      <c r="AM11" s="36">
        <v>0.52</v>
      </c>
      <c r="AN11" s="36">
        <v>0.48</v>
      </c>
      <c r="AO11" s="36">
        <v>0.52</v>
      </c>
      <c r="AP11" s="36">
        <v>0.48</v>
      </c>
      <c r="AQ11" s="36">
        <v>0.52</v>
      </c>
      <c r="AR11" s="36">
        <v>0.48</v>
      </c>
      <c r="AS11" s="36">
        <v>0.52</v>
      </c>
      <c r="AT11" s="36">
        <v>0.48</v>
      </c>
      <c r="AU11" s="36">
        <v>0.52</v>
      </c>
      <c r="AV11" s="36">
        <v>0.48</v>
      </c>
      <c r="AW11" s="36">
        <v>0.52</v>
      </c>
      <c r="AX11" s="36">
        <v>0.48</v>
      </c>
      <c r="AY11" s="36">
        <v>0.52</v>
      </c>
      <c r="AZ11" s="36">
        <v>0.48</v>
      </c>
      <c r="BA11" s="36">
        <v>0.52</v>
      </c>
      <c r="BB11" s="36">
        <v>0.48</v>
      </c>
      <c r="BC11" s="36">
        <v>0.52</v>
      </c>
      <c r="BD11" s="36">
        <v>0.48</v>
      </c>
    </row>
    <row r="12" spans="1:56" ht="15.75" customHeight="1" x14ac:dyDescent="0.2">
      <c r="A12" s="29"/>
      <c r="B12" s="30" t="s">
        <v>117</v>
      </c>
      <c r="C12" s="29"/>
      <c r="D12" s="29"/>
      <c r="E12" s="29">
        <f>Inputs!$C$9*Inputs!$C$10*Inputs!$C$12*Operations!E10*Operations!E11</f>
        <v>0</v>
      </c>
      <c r="F12" s="29">
        <f>Inputs!$C$9*Inputs!$C$10*Inputs!$C$12*Operations!F10*Operations!F11</f>
        <v>0</v>
      </c>
      <c r="G12" s="33">
        <f>Inputs!$C$9*Inputs!$C$10*Inputs!$C$12*Operations!G10*Operations!G11/1000</f>
        <v>35905.22</v>
      </c>
      <c r="H12" s="33">
        <f>Inputs!$C$9*Inputs!$C$10*Inputs!$C$12*Operations!H10*Operations!H11/1000</f>
        <v>33143.279999999999</v>
      </c>
      <c r="I12" s="33">
        <f>Inputs!$C$9*Inputs!$C$10*Inputs!$C$12*Operations!I10*Operations!I11/1000</f>
        <v>35725.693899999998</v>
      </c>
      <c r="J12" s="33">
        <f>Inputs!$C$9*Inputs!$C$10*Inputs!$C$12*Operations!J10*Operations!J11/1000</f>
        <v>32977.563600000001</v>
      </c>
      <c r="K12" s="33">
        <f>Inputs!$C$9*Inputs!$C$10*Inputs!$C$12*Operations!K10*Operations!K11/1000</f>
        <v>35547.065430499999</v>
      </c>
      <c r="L12" s="33">
        <f>Inputs!$C$9*Inputs!$C$10*Inputs!$C$12*Operations!L10*Operations!L11/1000</f>
        <v>32812.675781999998</v>
      </c>
      <c r="M12" s="33">
        <f>Inputs!$C$9*Inputs!$C$10*Inputs!$C$12*Operations!M10*Operations!M11/1000</f>
        <v>35369.330103347493</v>
      </c>
      <c r="N12" s="33">
        <f>Inputs!$C$9*Inputs!$C$10*Inputs!$C$12*Operations!N10*Operations!N11/1000</f>
        <v>32648.612403089995</v>
      </c>
      <c r="O12" s="33">
        <f>Inputs!$C$9*Inputs!$C$10*Inputs!$C$12*Operations!O10*Operations!O11/1000</f>
        <v>35192.483452830769</v>
      </c>
      <c r="P12" s="33">
        <f>Inputs!$C$9*Inputs!$C$10*Inputs!$C$12*Operations!P10*Operations!P11/1000</f>
        <v>32485.369341074551</v>
      </c>
      <c r="Q12" s="33">
        <f>Inputs!$C$9*Inputs!$C$10*Inputs!$C$12*Operations!Q10*Operations!Q11/1000</f>
        <v>35016.521035566613</v>
      </c>
      <c r="R12" s="33">
        <f>Inputs!$C$9*Inputs!$C$10*Inputs!$C$12*Operations!R10*Operations!R11/1000</f>
        <v>32322.942494369177</v>
      </c>
      <c r="S12" s="33">
        <f>Inputs!$C$9*Inputs!$C$10*Inputs!$C$12*Operations!S10*Operations!S11/1000</f>
        <v>34841.438430388778</v>
      </c>
      <c r="T12" s="33">
        <f>Inputs!$C$9*Inputs!$C$10*Inputs!$C$12*Operations!T10*Operations!T11/1000</f>
        <v>32161.327781897333</v>
      </c>
      <c r="U12" s="33">
        <f>Inputs!$C$9*Inputs!$C$10*Inputs!$C$12*Operations!U10*Operations!U11/1000</f>
        <v>34667.231238236833</v>
      </c>
      <c r="V12" s="33">
        <f>Inputs!$C$9*Inputs!$C$10*Inputs!$C$12*Operations!V10*Operations!V11/1000</f>
        <v>32000.521142987844</v>
      </c>
      <c r="W12" s="33">
        <f>Inputs!$C$9*Inputs!$C$10*Inputs!$C$12*Operations!W10*Operations!W11/1000</f>
        <v>34493.895082045652</v>
      </c>
      <c r="X12" s="33">
        <f>Inputs!$C$9*Inputs!$C$10*Inputs!$C$12*Operations!X10*Operations!X11/1000</f>
        <v>31840.518537272907</v>
      </c>
      <c r="Y12" s="33">
        <f>Inputs!$C$9*Inputs!$C$10*Inputs!$C$12*Operations!Y10*Operations!Y11/1000</f>
        <v>34321.425606635421</v>
      </c>
      <c r="Z12" s="33">
        <f>Inputs!$C$9*Inputs!$C$10*Inputs!$C$12*Operations!Z10*Operations!Z11/1000</f>
        <v>31681.315944586539</v>
      </c>
      <c r="AA12" s="33">
        <f>Inputs!$C$9*Inputs!$C$10*Inputs!$C$12*Operations!AA10*Operations!AA11/1000</f>
        <v>34149.818478602247</v>
      </c>
      <c r="AB12" s="33">
        <f>Inputs!$C$9*Inputs!$C$10*Inputs!$C$12*Operations!AB10*Operations!AB11/1000</f>
        <v>31522.909364863612</v>
      </c>
      <c r="AC12" s="33">
        <f>Inputs!$C$9*Inputs!$C$10*Inputs!$C$12*Operations!AC10*Operations!AC11/1000</f>
        <v>33979.069386209238</v>
      </c>
      <c r="AD12" s="33">
        <f>Inputs!$C$9*Inputs!$C$10*Inputs!$C$12*Operations!AD10*Operations!AD11/1000</f>
        <v>31365.294818039292</v>
      </c>
      <c r="AE12" s="33">
        <f>Inputs!$C$9*Inputs!$C$10*Inputs!$C$12*Operations!AE10*Operations!AE11/1000</f>
        <v>33809.174039278194</v>
      </c>
      <c r="AF12" s="33">
        <f>Inputs!$C$9*Inputs!$C$10*Inputs!$C$12*Operations!AF10*Operations!AF11/1000</f>
        <v>31208.468343949098</v>
      </c>
      <c r="AG12" s="33">
        <f>Inputs!$C$9*Inputs!$C$10*Inputs!$C$12*Operations!AG10*Operations!AG11/1000</f>
        <v>33640.1281690818</v>
      </c>
      <c r="AH12" s="33">
        <f>Inputs!$C$9*Inputs!$C$10*Inputs!$C$12*Operations!AH10*Operations!AH11/1000</f>
        <v>31052.426002229353</v>
      </c>
      <c r="AI12" s="33">
        <f>Inputs!$C$9*Inputs!$C$10*Inputs!$C$12*Operations!AI10*Operations!AI11/1000</f>
        <v>33471.927528236396</v>
      </c>
      <c r="AJ12" s="33">
        <f>Inputs!$C$9*Inputs!$C$10*Inputs!$C$12*Operations!AJ10*Operations!AJ11/1000</f>
        <v>30897.163872218207</v>
      </c>
      <c r="AK12" s="33">
        <f>Inputs!$C$9*Inputs!$C$10*Inputs!$C$12*Operations!AK10*Operations!AK11/1000</f>
        <v>33304.567890595215</v>
      </c>
      <c r="AL12" s="33">
        <f>Inputs!$C$9*Inputs!$C$10*Inputs!$C$12*Operations!AL10*Operations!AL11/1000</f>
        <v>30742.678052857114</v>
      </c>
      <c r="AM12" s="33">
        <f>Inputs!$C$9*Inputs!$C$10*Inputs!$C$12*Operations!AM10*Operations!AM11/1000</f>
        <v>33138.045051142231</v>
      </c>
      <c r="AN12" s="33">
        <f>Inputs!$C$9*Inputs!$C$10*Inputs!$C$12*Operations!AN10*Operations!AN11/1000</f>
        <v>30588.964662592829</v>
      </c>
      <c r="AO12" s="33">
        <f>Inputs!$C$9*Inputs!$C$10*Inputs!$C$12*Operations!AO10*Operations!AO11/1000</f>
        <v>32972.354825886519</v>
      </c>
      <c r="AP12" s="33">
        <f>Inputs!$C$9*Inputs!$C$10*Inputs!$C$12*Operations!AP10*Operations!AP11/1000</f>
        <v>30436.019839279863</v>
      </c>
      <c r="AQ12" s="33">
        <f>Inputs!$C$9*Inputs!$C$10*Inputs!$C$12*Operations!AQ10*Operations!AQ11/1000</f>
        <v>32807.49305175709</v>
      </c>
      <c r="AR12" s="33">
        <f>Inputs!$C$9*Inputs!$C$10*Inputs!$C$12*Operations!AR10*Operations!AR11/1000</f>
        <v>30283.839740083462</v>
      </c>
      <c r="AS12" s="33">
        <f>Inputs!$C$9*Inputs!$C$10*Inputs!$C$12*Operations!AS10*Operations!AS11/1000</f>
        <v>32643.455586498301</v>
      </c>
      <c r="AT12" s="33">
        <f>Inputs!$C$9*Inputs!$C$10*Inputs!$C$12*Operations!AT10*Operations!AT11/1000</f>
        <v>30132.420541383046</v>
      </c>
      <c r="AU12" s="33">
        <f>Inputs!$C$9*Inputs!$C$10*Inputs!$C$12*Operations!AU10*Operations!AU11/1000</f>
        <v>32480.238308565811</v>
      </c>
      <c r="AV12" s="33">
        <f>Inputs!$C$9*Inputs!$C$10*Inputs!$C$12*Operations!AV10*Operations!AV11/1000</f>
        <v>29981.758438676134</v>
      </c>
      <c r="AW12" s="33">
        <f>Inputs!$C$9*Inputs!$C$10*Inputs!$C$12*Operations!AW10*Operations!AW11/1000</f>
        <v>32317.837117022984</v>
      </c>
      <c r="AX12" s="33">
        <f>Inputs!$C$9*Inputs!$C$10*Inputs!$C$12*Operations!AX10*Operations!AX11/1000</f>
        <v>29831.849646482751</v>
      </c>
      <c r="AY12" s="33">
        <f>Inputs!$C$9*Inputs!$C$10*Inputs!$C$12*Operations!AY10*Operations!AY11/1000</f>
        <v>32156.247931437869</v>
      </c>
      <c r="AZ12" s="33">
        <f>Inputs!$C$9*Inputs!$C$10*Inputs!$C$12*Operations!AZ10*Operations!AZ11/1000</f>
        <v>29682.690398250339</v>
      </c>
      <c r="BA12" s="33">
        <f>Inputs!$C$9*Inputs!$C$10*Inputs!$C$12*Operations!BA10*Operations!BA11/1000</f>
        <v>31995.466691780679</v>
      </c>
      <c r="BB12" s="33">
        <f>Inputs!$C$9*Inputs!$C$10*Inputs!$C$12*Operations!BB10*Operations!BB11/1000</f>
        <v>29534.276946259088</v>
      </c>
      <c r="BC12" s="33">
        <f>Inputs!$C$9*Inputs!$C$10*Inputs!$C$12*Operations!BC10*Operations!BC11/1000</f>
        <v>31835.489358321774</v>
      </c>
      <c r="BD12" s="33">
        <f>Inputs!$C$9*Inputs!$C$10*Inputs!$C$12*Operations!BD10*Operations!BD11/1000</f>
        <v>29386.605561527791</v>
      </c>
    </row>
    <row r="13" spans="1:56" ht="15.75" customHeight="1" x14ac:dyDescent="0.2">
      <c r="A13" s="29"/>
      <c r="B13" s="30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</row>
    <row r="14" spans="1:56" ht="15.75" customHeight="1" x14ac:dyDescent="0.2">
      <c r="A14" s="29"/>
      <c r="B14" s="27" t="s">
        <v>118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</row>
    <row r="15" spans="1:56" ht="15.75" customHeight="1" x14ac:dyDescent="0.2">
      <c r="A15" s="29"/>
      <c r="B15" s="30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</row>
    <row r="16" spans="1:56" ht="15.75" customHeight="1" x14ac:dyDescent="0.2">
      <c r="A16" s="29"/>
      <c r="B16" s="30" t="s">
        <v>119</v>
      </c>
      <c r="C16" s="29"/>
      <c r="D16" s="29"/>
      <c r="E16" s="37">
        <f>(Timing!E15*Inputs!$C$15)+(Inputs!$C$16*Timing!E16)</f>
        <v>0</v>
      </c>
      <c r="F16" s="37">
        <f>(Timing!F15*Inputs!$C$15)+(Inputs!$C$16*Timing!F16)</f>
        <v>0</v>
      </c>
      <c r="G16" s="37">
        <f>(Timing!G15*Inputs!$C$15)+(Inputs!$C$16*Timing!G16)</f>
        <v>79</v>
      </c>
      <c r="H16" s="37">
        <f>(Timing!H15*Inputs!$C$15)+(Inputs!$C$16*Timing!H16)</f>
        <v>79</v>
      </c>
      <c r="I16" s="37">
        <f>(Timing!I15*Inputs!$C$15)+(Inputs!$C$16*Timing!I16)</f>
        <v>79</v>
      </c>
      <c r="J16" s="37">
        <f>(Timing!J15*Inputs!$C$15)+(Inputs!$C$16*Timing!J16)</f>
        <v>79</v>
      </c>
      <c r="K16" s="37">
        <f>(Timing!K15*Inputs!$C$15)+(Inputs!$C$16*Timing!K16)</f>
        <v>79</v>
      </c>
      <c r="L16" s="37">
        <f>(Timing!L15*Inputs!$C$15)+(Inputs!$C$16*Timing!L16)</f>
        <v>79</v>
      </c>
      <c r="M16" s="37">
        <f>(Timing!M15*Inputs!$C$15)+(Inputs!$C$16*Timing!M16)</f>
        <v>79</v>
      </c>
      <c r="N16" s="37">
        <f>(Timing!N15*Inputs!$C$15)+(Inputs!$C$16*Timing!N16)</f>
        <v>79</v>
      </c>
      <c r="O16" s="37">
        <f>(Timing!O15*Inputs!$C$15)+(Inputs!$C$16*Timing!O16)</f>
        <v>79</v>
      </c>
      <c r="P16" s="37">
        <f>(Timing!P15*Inputs!$C$15)+(Inputs!$C$16*Timing!P16)</f>
        <v>79</v>
      </c>
      <c r="Q16" s="37">
        <f>(Timing!Q15*Inputs!$C$15)+(Inputs!$C$16*Timing!Q16)</f>
        <v>79</v>
      </c>
      <c r="R16" s="37">
        <f>(Timing!R15*Inputs!$C$15)+(Inputs!$C$16*Timing!R16)</f>
        <v>79</v>
      </c>
      <c r="S16" s="37">
        <f>(Timing!S15*Inputs!$C$15)+(Inputs!$C$16*Timing!S16)</f>
        <v>79</v>
      </c>
      <c r="T16" s="37">
        <f>(Timing!T15*Inputs!$C$15)+(Inputs!$C$16*Timing!T16)</f>
        <v>79</v>
      </c>
      <c r="U16" s="37">
        <f>(Timing!U15*Inputs!$C$15)+(Inputs!$C$16*Timing!U16)</f>
        <v>79</v>
      </c>
      <c r="V16" s="37">
        <f>(Timing!V15*Inputs!$C$15)+(Inputs!$C$16*Timing!V16)</f>
        <v>79</v>
      </c>
      <c r="W16" s="37">
        <f>(Timing!W15*Inputs!$C$15)+(Inputs!$C$16*Timing!W16)</f>
        <v>79</v>
      </c>
      <c r="X16" s="37">
        <f>(Timing!X15*Inputs!$C$15)+(Inputs!$C$16*Timing!X16)</f>
        <v>79</v>
      </c>
      <c r="Y16" s="37">
        <f>(Timing!Y15*Inputs!$C$15)+(Inputs!$C$16*Timing!Y16)</f>
        <v>79</v>
      </c>
      <c r="Z16" s="37">
        <f>(Timing!Z15*Inputs!$C$15)+(Inputs!$C$16*Timing!Z16)</f>
        <v>79</v>
      </c>
      <c r="AA16" s="37">
        <f>(Timing!AA15*Inputs!$C$15)+(Inputs!$C$16*Timing!AA16)</f>
        <v>79</v>
      </c>
      <c r="AB16" s="37">
        <f>(Timing!AB15*Inputs!$C$15)+(Inputs!$C$16*Timing!AB16)</f>
        <v>79</v>
      </c>
      <c r="AC16" s="37">
        <f>(Timing!AC15*Inputs!$C$15)+(Inputs!$C$16*Timing!AC16)</f>
        <v>79</v>
      </c>
      <c r="AD16" s="37">
        <f>(Timing!AD15*Inputs!$C$15)+(Inputs!$C$16*Timing!AD16)</f>
        <v>79</v>
      </c>
      <c r="AE16" s="37">
        <f>(Timing!AE15*Inputs!$C$15)+(Inputs!$C$16*Timing!AE16)</f>
        <v>79</v>
      </c>
      <c r="AF16" s="37">
        <f>(Timing!AF15*Inputs!$C$15)+(Inputs!$C$16*Timing!AF16)</f>
        <v>79</v>
      </c>
      <c r="AG16" s="37">
        <f>(Timing!AG15*Inputs!$C$15)+(Inputs!$C$16*Timing!AG16)</f>
        <v>79</v>
      </c>
      <c r="AH16" s="37">
        <f>(Timing!AH15*Inputs!$C$15)+(Inputs!$C$16*Timing!AH16)</f>
        <v>79</v>
      </c>
      <c r="AI16" s="37">
        <f>(Timing!AI15*Inputs!$C$15)+(Inputs!$C$16*Timing!AI16)</f>
        <v>79</v>
      </c>
      <c r="AJ16" s="37">
        <f>(Timing!AJ15*Inputs!$C$15)+(Inputs!$C$16*Timing!AJ16)</f>
        <v>79</v>
      </c>
      <c r="AK16" s="37">
        <f>(Timing!AK15*Inputs!$C$15)+(Inputs!$C$16*Timing!AK16)</f>
        <v>79</v>
      </c>
      <c r="AL16" s="37">
        <f>(Timing!AL15*Inputs!$C$15)+(Inputs!$C$16*Timing!AL16)</f>
        <v>79</v>
      </c>
      <c r="AM16" s="37">
        <f>(Timing!AM15*Inputs!$C$15)+(Inputs!$C$16*Timing!AM16)</f>
        <v>79</v>
      </c>
      <c r="AN16" s="37">
        <f>(Timing!AN15*Inputs!$C$15)+(Inputs!$C$16*Timing!AN16)</f>
        <v>79</v>
      </c>
      <c r="AO16" s="37">
        <f>(Timing!AO15*Inputs!$C$15)+(Inputs!$C$16*Timing!AO16)</f>
        <v>79</v>
      </c>
      <c r="AP16" s="37">
        <f>(Timing!AP15*Inputs!$C$15)+(Inputs!$C$16*Timing!AP16)</f>
        <v>79</v>
      </c>
      <c r="AQ16" s="37">
        <f>(Timing!AQ15*Inputs!$C$15)+(Inputs!$C$16*Timing!AQ16)</f>
        <v>79</v>
      </c>
      <c r="AR16" s="37">
        <f>(Timing!AR15*Inputs!$C$15)+(Inputs!$C$16*Timing!AR16)</f>
        <v>79</v>
      </c>
      <c r="AS16" s="37">
        <f>(Timing!AS15*Inputs!$C$15)+(Inputs!$C$16*Timing!AS16)</f>
        <v>79</v>
      </c>
      <c r="AT16" s="37">
        <f>(Timing!AT15*Inputs!$C$15)+(Inputs!$C$16*Timing!AT16)</f>
        <v>79</v>
      </c>
      <c r="AU16" s="37">
        <f>(Timing!AU15*Inputs!$C$15)+(Inputs!$C$16*Timing!AU16)</f>
        <v>55</v>
      </c>
      <c r="AV16" s="37">
        <f>(Timing!AV15*Inputs!$C$15)+(Inputs!$C$16*Timing!AV16)</f>
        <v>55</v>
      </c>
      <c r="AW16" s="37">
        <f>(Timing!AW15*Inputs!$C$15)+(Inputs!$C$16*Timing!AW16)</f>
        <v>55</v>
      </c>
      <c r="AX16" s="37">
        <f>(Timing!AX15*Inputs!$C$15)+(Inputs!$C$16*Timing!AX16)</f>
        <v>55</v>
      </c>
      <c r="AY16" s="37">
        <f>(Timing!AY15*Inputs!$C$15)+(Inputs!$C$16*Timing!AY16)</f>
        <v>55</v>
      </c>
      <c r="AZ16" s="37">
        <f>(Timing!AZ15*Inputs!$C$15)+(Inputs!$C$16*Timing!AZ16)</f>
        <v>55</v>
      </c>
      <c r="BA16" s="37">
        <f>(Timing!BA15*Inputs!$C$15)+(Inputs!$C$16*Timing!BA16)</f>
        <v>55</v>
      </c>
      <c r="BB16" s="37">
        <f>(Timing!BB15*Inputs!$C$15)+(Inputs!$C$16*Timing!BB16)</f>
        <v>55</v>
      </c>
      <c r="BC16" s="37">
        <f>(Timing!BC15*Inputs!$C$15)+(Inputs!$C$16*Timing!BC16)</f>
        <v>55</v>
      </c>
      <c r="BD16" s="37">
        <f>(Timing!BD15*Inputs!$C$15)+(Inputs!$C$16*Timing!BD16)</f>
        <v>55</v>
      </c>
    </row>
    <row r="17" spans="1:56" ht="15.75" customHeight="1" x14ac:dyDescent="0.2">
      <c r="A17" s="29"/>
      <c r="B17" s="30" t="s">
        <v>120</v>
      </c>
      <c r="C17" s="29"/>
      <c r="D17" s="29"/>
      <c r="E17" s="37">
        <f t="shared" ref="E17:AJ17" si="2">E16*E12/1000000</f>
        <v>0</v>
      </c>
      <c r="F17" s="37">
        <f t="shared" si="2"/>
        <v>0</v>
      </c>
      <c r="G17" s="37">
        <f t="shared" si="2"/>
        <v>2.8365123799999998</v>
      </c>
      <c r="H17" s="37">
        <f t="shared" si="2"/>
        <v>2.6183191200000002</v>
      </c>
      <c r="I17" s="37">
        <f t="shared" si="2"/>
        <v>2.8223298180999996</v>
      </c>
      <c r="J17" s="37">
        <f t="shared" si="2"/>
        <v>2.6052275244</v>
      </c>
      <c r="K17" s="37">
        <f t="shared" si="2"/>
        <v>2.8082181690094998</v>
      </c>
      <c r="L17" s="37">
        <f t="shared" si="2"/>
        <v>2.5922013867779996</v>
      </c>
      <c r="M17" s="37">
        <f t="shared" si="2"/>
        <v>2.7941770781644517</v>
      </c>
      <c r="N17" s="37">
        <f t="shared" si="2"/>
        <v>2.5792403798441095</v>
      </c>
      <c r="O17" s="37">
        <f t="shared" si="2"/>
        <v>2.780206192773631</v>
      </c>
      <c r="P17" s="37">
        <f t="shared" si="2"/>
        <v>2.5663441779448894</v>
      </c>
      <c r="Q17" s="37">
        <f t="shared" si="2"/>
        <v>2.7663051618097625</v>
      </c>
      <c r="R17" s="37">
        <f t="shared" si="2"/>
        <v>2.5535124570551648</v>
      </c>
      <c r="S17" s="37">
        <f t="shared" si="2"/>
        <v>2.7524736360007132</v>
      </c>
      <c r="T17" s="37">
        <f t="shared" si="2"/>
        <v>2.5407448947698894</v>
      </c>
      <c r="U17" s="37">
        <f t="shared" si="2"/>
        <v>2.7387112678207099</v>
      </c>
      <c r="V17" s="37">
        <f t="shared" si="2"/>
        <v>2.5280411702960395</v>
      </c>
      <c r="W17" s="37">
        <f t="shared" si="2"/>
        <v>2.7250177114816068</v>
      </c>
      <c r="X17" s="37">
        <f t="shared" si="2"/>
        <v>2.5154009644445594</v>
      </c>
      <c r="Y17" s="37">
        <f t="shared" si="2"/>
        <v>2.7113926229241985</v>
      </c>
      <c r="Z17" s="37">
        <f t="shared" si="2"/>
        <v>2.5028239596223365</v>
      </c>
      <c r="AA17" s="37">
        <f t="shared" si="2"/>
        <v>2.6978356598095772</v>
      </c>
      <c r="AB17" s="37">
        <f t="shared" si="2"/>
        <v>2.4903098398242252</v>
      </c>
      <c r="AC17" s="37">
        <f t="shared" si="2"/>
        <v>2.6843464815105298</v>
      </c>
      <c r="AD17" s="37">
        <f t="shared" si="2"/>
        <v>2.4778582906251043</v>
      </c>
      <c r="AE17" s="37">
        <f t="shared" si="2"/>
        <v>2.6709247491029773</v>
      </c>
      <c r="AF17" s="37">
        <f t="shared" si="2"/>
        <v>2.4654689991719789</v>
      </c>
      <c r="AG17" s="37">
        <f t="shared" si="2"/>
        <v>2.657570125357462</v>
      </c>
      <c r="AH17" s="37">
        <f t="shared" si="2"/>
        <v>2.4531416541761186</v>
      </c>
      <c r="AI17" s="37">
        <f t="shared" si="2"/>
        <v>2.6442822747306756</v>
      </c>
      <c r="AJ17" s="37">
        <f t="shared" si="2"/>
        <v>2.4408759459052383</v>
      </c>
      <c r="AK17" s="37">
        <f t="shared" ref="AK17:BD17" si="3">AK16*AK12/1000000</f>
        <v>2.6310608633570221</v>
      </c>
      <c r="AL17" s="37">
        <f t="shared" si="3"/>
        <v>2.4286715661757117</v>
      </c>
      <c r="AM17" s="37">
        <f t="shared" si="3"/>
        <v>2.6179055590402363</v>
      </c>
      <c r="AN17" s="37">
        <f t="shared" si="3"/>
        <v>2.4165282083448334</v>
      </c>
      <c r="AO17" s="37">
        <f t="shared" si="3"/>
        <v>2.604816031245035</v>
      </c>
      <c r="AP17" s="37">
        <f t="shared" si="3"/>
        <v>2.4044455673031089</v>
      </c>
      <c r="AQ17" s="37">
        <f t="shared" si="3"/>
        <v>2.5917919510888106</v>
      </c>
      <c r="AR17" s="37">
        <f t="shared" si="3"/>
        <v>2.3924233394665939</v>
      </c>
      <c r="AS17" s="37">
        <f t="shared" si="3"/>
        <v>2.5788329913333659</v>
      </c>
      <c r="AT17" s="37">
        <f t="shared" si="3"/>
        <v>2.3804612227692603</v>
      </c>
      <c r="AU17" s="37">
        <f t="shared" si="3"/>
        <v>1.7864131069711195</v>
      </c>
      <c r="AV17" s="37">
        <f t="shared" si="3"/>
        <v>1.6489967141271873</v>
      </c>
      <c r="AW17" s="37">
        <f t="shared" si="3"/>
        <v>1.7774810414362641</v>
      </c>
      <c r="AX17" s="37">
        <f t="shared" si="3"/>
        <v>1.6407517305565513</v>
      </c>
      <c r="AY17" s="37">
        <f t="shared" si="3"/>
        <v>1.7685936362290826</v>
      </c>
      <c r="AZ17" s="37">
        <f t="shared" si="3"/>
        <v>1.6325479719037685</v>
      </c>
      <c r="BA17" s="37">
        <f t="shared" si="3"/>
        <v>1.7597506680479373</v>
      </c>
      <c r="BB17" s="37">
        <f t="shared" si="3"/>
        <v>1.6243852320442498</v>
      </c>
      <c r="BC17" s="37">
        <f t="shared" si="3"/>
        <v>1.7509519147076977</v>
      </c>
      <c r="BD17" s="37">
        <f t="shared" si="3"/>
        <v>1.6162633058840286</v>
      </c>
    </row>
    <row r="18" spans="1:56" ht="15.75" customHeight="1" x14ac:dyDescent="0.2">
      <c r="A18" s="29"/>
      <c r="B18" s="30"/>
      <c r="C18" s="29"/>
      <c r="D18" s="29"/>
      <c r="E18" s="37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1:56" ht="15.75" customHeight="1" x14ac:dyDescent="0.2">
      <c r="A19" s="29"/>
      <c r="B19" s="27" t="s">
        <v>121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</row>
    <row r="20" spans="1:56" ht="15.75" customHeight="1" x14ac:dyDescent="0.2">
      <c r="A20" s="29"/>
      <c r="B20" s="30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 spans="1:56" ht="15.75" customHeight="1" x14ac:dyDescent="0.2">
      <c r="A21" s="29"/>
      <c r="B21" s="30" t="s">
        <v>122</v>
      </c>
      <c r="C21" s="29"/>
      <c r="D21" s="29"/>
      <c r="E21" s="37">
        <f>Inputs!$C$9*Inputs!$C$14*0.5*(1+Inputs!$C$27)^Operations!E6/1000000*Timing!E11</f>
        <v>0</v>
      </c>
      <c r="F21" s="37">
        <f>Inputs!$C$9*Inputs!$C$14*0.5*(1+Inputs!$C$27)^Operations!F6/1000000*Timing!F11</f>
        <v>0</v>
      </c>
      <c r="G21" s="37">
        <f>Inputs!$C$9*Inputs!$C$14*0.5*(1+Inputs!$C$27)^Operations!G6/1000000*Timing!G11</f>
        <v>0.40799999999999997</v>
      </c>
      <c r="H21" s="37">
        <f>Inputs!$C$9*Inputs!$C$14*0.5*(1+Inputs!$C$27)^Operations!H6/1000000*Timing!H11</f>
        <v>0.40799999999999997</v>
      </c>
      <c r="I21" s="37">
        <f>Inputs!$C$9*Inputs!$C$14*0.5*(1+Inputs!$C$27)^Operations!I6/1000000*Timing!I11</f>
        <v>0.41615999999999997</v>
      </c>
      <c r="J21" s="37">
        <f>Inputs!$C$9*Inputs!$C$14*0.5*(1+Inputs!$C$27)^Operations!J6/1000000*Timing!J11</f>
        <v>0.41615999999999997</v>
      </c>
      <c r="K21" s="37">
        <f>Inputs!$C$9*Inputs!$C$14*0.5*(1+Inputs!$C$27)^Operations!K6/1000000*Timing!K11</f>
        <v>0.42448319999999995</v>
      </c>
      <c r="L21" s="37">
        <f>Inputs!$C$9*Inputs!$C$14*0.5*(1+Inputs!$C$27)^Operations!L6/1000000*Timing!L11</f>
        <v>0.42448319999999995</v>
      </c>
      <c r="M21" s="37">
        <f>Inputs!$C$9*Inputs!$C$14*0.5*(1+Inputs!$C$27)^Operations!M6/1000000*Timing!M11</f>
        <v>0.43297286400000001</v>
      </c>
      <c r="N21" s="37">
        <f>Inputs!$C$9*Inputs!$C$14*0.5*(1+Inputs!$C$27)^Operations!N6/1000000*Timing!N11</f>
        <v>0.43297286400000001</v>
      </c>
      <c r="O21" s="37">
        <f>Inputs!$C$9*Inputs!$C$14*0.5*(1+Inputs!$C$27)^Operations!O6/1000000*Timing!O11</f>
        <v>0.44163232128000002</v>
      </c>
      <c r="P21" s="37">
        <f>Inputs!$C$9*Inputs!$C$14*0.5*(1+Inputs!$C$27)^Operations!P6/1000000*Timing!P11</f>
        <v>0.44163232128000002</v>
      </c>
      <c r="Q21" s="37">
        <f>Inputs!$C$9*Inputs!$C$14*0.5*(1+Inputs!$C$27)^Operations!Q6/1000000*Timing!Q11</f>
        <v>0.45046496770560002</v>
      </c>
      <c r="R21" s="37">
        <f>Inputs!$C$9*Inputs!$C$14*0.5*(1+Inputs!$C$27)^Operations!R6/1000000*Timing!R11</f>
        <v>0.45046496770560002</v>
      </c>
      <c r="S21" s="37">
        <f>Inputs!$C$9*Inputs!$C$14*0.5*(1+Inputs!$C$27)^Operations!S6/1000000*Timing!S11</f>
        <v>0.45947426705971189</v>
      </c>
      <c r="T21" s="37">
        <f>Inputs!$C$9*Inputs!$C$14*0.5*(1+Inputs!$C$27)^Operations!T6/1000000*Timing!T11</f>
        <v>0.45947426705971189</v>
      </c>
      <c r="U21" s="37">
        <f>Inputs!$C$9*Inputs!$C$14*0.5*(1+Inputs!$C$27)^Operations!U6/1000000*Timing!U11</f>
        <v>0.46866375240090624</v>
      </c>
      <c r="V21" s="37">
        <f>Inputs!$C$9*Inputs!$C$14*0.5*(1+Inputs!$C$27)^Operations!V6/1000000*Timing!V11</f>
        <v>0.46866375240090624</v>
      </c>
      <c r="W21" s="37">
        <f>Inputs!$C$9*Inputs!$C$14*0.5*(1+Inputs!$C$27)^Operations!W6/1000000*Timing!W11</f>
        <v>0.47803702744892429</v>
      </c>
      <c r="X21" s="37">
        <f>Inputs!$C$9*Inputs!$C$14*0.5*(1+Inputs!$C$27)^Operations!X6/1000000*Timing!X11</f>
        <v>0.47803702744892429</v>
      </c>
      <c r="Y21" s="37">
        <f>Inputs!$C$9*Inputs!$C$14*0.5*(1+Inputs!$C$27)^Operations!Y6/1000000*Timing!Y11</f>
        <v>0.48759776799790283</v>
      </c>
      <c r="Z21" s="37">
        <f>Inputs!$C$9*Inputs!$C$14*0.5*(1+Inputs!$C$27)^Operations!Z6/1000000*Timing!Z11</f>
        <v>0.48759776799790283</v>
      </c>
      <c r="AA21" s="37">
        <f>Inputs!$C$9*Inputs!$C$14*0.5*(1+Inputs!$C$27)^Operations!AA6/1000000*Timing!AA11</f>
        <v>0.49734972335786082</v>
      </c>
      <c r="AB21" s="37">
        <f>Inputs!$C$9*Inputs!$C$14*0.5*(1+Inputs!$C$27)^Operations!AB6/1000000*Timing!AB11</f>
        <v>0.49734972335786082</v>
      </c>
      <c r="AC21" s="37">
        <f>Inputs!$C$9*Inputs!$C$14*0.5*(1+Inputs!$C$27)^Operations!AC6/1000000*Timing!AC11</f>
        <v>0.50729671782501806</v>
      </c>
      <c r="AD21" s="37">
        <f>Inputs!$C$9*Inputs!$C$14*0.5*(1+Inputs!$C$27)^Operations!AD6/1000000*Timing!AD11</f>
        <v>0.50729671782501806</v>
      </c>
      <c r="AE21" s="37">
        <f>Inputs!$C$9*Inputs!$C$14*0.5*(1+Inputs!$C$27)^Operations!AE6/1000000*Timing!AE11</f>
        <v>0.51744265218151841</v>
      </c>
      <c r="AF21" s="37">
        <f>Inputs!$C$9*Inputs!$C$14*0.5*(1+Inputs!$C$27)^Operations!AF6/1000000*Timing!AF11</f>
        <v>0.51744265218151841</v>
      </c>
      <c r="AG21" s="37">
        <f>Inputs!$C$9*Inputs!$C$14*0.5*(1+Inputs!$C$27)^Operations!AG6/1000000*Timing!AG11</f>
        <v>0.52779150522514884</v>
      </c>
      <c r="AH21" s="37">
        <f>Inputs!$C$9*Inputs!$C$14*0.5*(1+Inputs!$C$27)^Operations!AH6/1000000*Timing!AH11</f>
        <v>0.52779150522514884</v>
      </c>
      <c r="AI21" s="37">
        <f>Inputs!$C$9*Inputs!$C$14*0.5*(1+Inputs!$C$27)^Operations!AI6/1000000*Timing!AI11</f>
        <v>0.53834733532965173</v>
      </c>
      <c r="AJ21" s="37">
        <f>Inputs!$C$9*Inputs!$C$14*0.5*(1+Inputs!$C$27)^Operations!AJ6/1000000*Timing!AJ11</f>
        <v>0.53834733532965173</v>
      </c>
      <c r="AK21" s="37">
        <f>Inputs!$C$9*Inputs!$C$14*0.5*(1+Inputs!$C$27)^Operations!AK6/1000000*Timing!AK11</f>
        <v>0.54911428203624491</v>
      </c>
      <c r="AL21" s="37">
        <f>Inputs!$C$9*Inputs!$C$14*0.5*(1+Inputs!$C$27)^Operations!AL6/1000000*Timing!AL11</f>
        <v>0.54911428203624491</v>
      </c>
      <c r="AM21" s="37">
        <f>Inputs!$C$9*Inputs!$C$14*0.5*(1+Inputs!$C$27)^Operations!AM6/1000000*Timing!AM11</f>
        <v>0.5600965676769698</v>
      </c>
      <c r="AN21" s="37">
        <f>Inputs!$C$9*Inputs!$C$14*0.5*(1+Inputs!$C$27)^Operations!AN6/1000000*Timing!AN11</f>
        <v>0.5600965676769698</v>
      </c>
      <c r="AO21" s="37">
        <f>Inputs!$C$9*Inputs!$C$14*0.5*(1+Inputs!$C$27)^Operations!AO6/1000000*Timing!AO11</f>
        <v>0.571298499030509</v>
      </c>
      <c r="AP21" s="37">
        <f>Inputs!$C$9*Inputs!$C$14*0.5*(1+Inputs!$C$27)^Operations!AP6/1000000*Timing!AP11</f>
        <v>0.571298499030509</v>
      </c>
      <c r="AQ21" s="37">
        <f>Inputs!$C$9*Inputs!$C$14*0.5*(1+Inputs!$C$27)^Operations!AQ6/1000000*Timing!AQ11</f>
        <v>0.58272446901111918</v>
      </c>
      <c r="AR21" s="37">
        <f>Inputs!$C$9*Inputs!$C$14*0.5*(1+Inputs!$C$27)^Operations!AR6/1000000*Timing!AR11</f>
        <v>0.58272446901111918</v>
      </c>
      <c r="AS21" s="37">
        <f>Inputs!$C$9*Inputs!$C$14*0.5*(1+Inputs!$C$27)^Operations!AS6/1000000*Timing!AS11</f>
        <v>0.59437895839134169</v>
      </c>
      <c r="AT21" s="37">
        <f>Inputs!$C$9*Inputs!$C$14*0.5*(1+Inputs!$C$27)^Operations!AT6/1000000*Timing!AT11</f>
        <v>0.59437895839134169</v>
      </c>
      <c r="AU21" s="37">
        <f>Inputs!$C$9*Inputs!$C$14*0.5*(1+Inputs!$C$27)^Operations!AU6/1000000*Timing!AU11</f>
        <v>0.60626653755916848</v>
      </c>
      <c r="AV21" s="37">
        <f>Inputs!$C$9*Inputs!$C$14*0.5*(1+Inputs!$C$27)^Operations!AV6/1000000*Timing!AV11</f>
        <v>0.60626653755916848</v>
      </c>
      <c r="AW21" s="37">
        <f>Inputs!$C$9*Inputs!$C$14*0.5*(1+Inputs!$C$27)^Operations!AW6/1000000*Timing!AW11</f>
        <v>0.61839186831035187</v>
      </c>
      <c r="AX21" s="37">
        <f>Inputs!$C$9*Inputs!$C$14*0.5*(1+Inputs!$C$27)^Operations!AX6/1000000*Timing!AX11</f>
        <v>0.61839186831035187</v>
      </c>
      <c r="AY21" s="37">
        <f>Inputs!$C$9*Inputs!$C$14*0.5*(1+Inputs!$C$27)^Operations!AY6/1000000*Timing!AY11</f>
        <v>0.63075970567655881</v>
      </c>
      <c r="AZ21" s="37">
        <f>Inputs!$C$9*Inputs!$C$14*0.5*(1+Inputs!$C$27)^Operations!AZ6/1000000*Timing!AZ11</f>
        <v>0.63075970567655881</v>
      </c>
      <c r="BA21" s="37">
        <f>Inputs!$C$9*Inputs!$C$14*0.5*(1+Inputs!$C$27)^Operations!BA6/1000000*Timing!BA11</f>
        <v>0.64337489979008999</v>
      </c>
      <c r="BB21" s="37">
        <f>Inputs!$C$9*Inputs!$C$14*0.5*(1+Inputs!$C$27)^Operations!BB6/1000000*Timing!BB11</f>
        <v>0.64337489979008999</v>
      </c>
      <c r="BC21" s="37">
        <f>Inputs!$C$9*Inputs!$C$14*0.5*(1+Inputs!$C$27)^Operations!BC6/1000000*Timing!BC11</f>
        <v>0.65624239778589177</v>
      </c>
      <c r="BD21" s="37">
        <f>Inputs!$C$9*Inputs!$C$14*0.5*(1+Inputs!$C$27)^Operations!BD6/1000000*Timing!BD11</f>
        <v>0.65624239778589177</v>
      </c>
    </row>
    <row r="22" spans="1:56" ht="15.75" customHeight="1" x14ac:dyDescent="0.2">
      <c r="A22" s="29"/>
      <c r="B22" s="30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 spans="1:56" ht="15.75" customHeight="1" x14ac:dyDescent="0.2">
      <c r="A23" s="29"/>
      <c r="B23" s="45" t="s">
        <v>123</v>
      </c>
      <c r="C23" s="46"/>
      <c r="D23" s="46"/>
      <c r="E23" s="47">
        <f t="shared" ref="E23:AJ23" si="4">E17-E21</f>
        <v>0</v>
      </c>
      <c r="F23" s="47">
        <f t="shared" si="4"/>
        <v>0</v>
      </c>
      <c r="G23" s="47">
        <f t="shared" si="4"/>
        <v>2.4285123799999999</v>
      </c>
      <c r="H23" s="47">
        <f t="shared" si="4"/>
        <v>2.2103191200000003</v>
      </c>
      <c r="I23" s="47">
        <f t="shared" si="4"/>
        <v>2.4061698180999995</v>
      </c>
      <c r="J23" s="47">
        <f t="shared" si="4"/>
        <v>2.1890675244</v>
      </c>
      <c r="K23" s="47">
        <f t="shared" si="4"/>
        <v>2.3837349690094998</v>
      </c>
      <c r="L23" s="47">
        <f t="shared" si="4"/>
        <v>2.1677181867779995</v>
      </c>
      <c r="M23" s="47">
        <f t="shared" si="4"/>
        <v>2.3612042141644518</v>
      </c>
      <c r="N23" s="47">
        <f t="shared" si="4"/>
        <v>2.1462675158441096</v>
      </c>
      <c r="O23" s="47">
        <f t="shared" si="4"/>
        <v>2.3385738714936308</v>
      </c>
      <c r="P23" s="47">
        <f t="shared" si="4"/>
        <v>2.1247118566648893</v>
      </c>
      <c r="Q23" s="47">
        <f t="shared" si="4"/>
        <v>2.3158401941041626</v>
      </c>
      <c r="R23" s="47">
        <f t="shared" si="4"/>
        <v>2.103047489349565</v>
      </c>
      <c r="S23" s="47">
        <f t="shared" si="4"/>
        <v>2.2929993689410013</v>
      </c>
      <c r="T23" s="47">
        <f t="shared" si="4"/>
        <v>2.0812706277101776</v>
      </c>
      <c r="U23" s="47">
        <f t="shared" si="4"/>
        <v>2.2700475154198037</v>
      </c>
      <c r="V23" s="47">
        <f t="shared" si="4"/>
        <v>2.0593774178951332</v>
      </c>
      <c r="W23" s="47">
        <f t="shared" si="4"/>
        <v>2.2469806840326827</v>
      </c>
      <c r="X23" s="47">
        <f t="shared" si="4"/>
        <v>2.0373639369956349</v>
      </c>
      <c r="Y23" s="47">
        <f t="shared" si="4"/>
        <v>2.2237948549262958</v>
      </c>
      <c r="Z23" s="47">
        <f t="shared" si="4"/>
        <v>2.0152261916244338</v>
      </c>
      <c r="AA23" s="47">
        <f t="shared" si="4"/>
        <v>2.2004859364517162</v>
      </c>
      <c r="AB23" s="47">
        <f t="shared" si="4"/>
        <v>1.9929601164663644</v>
      </c>
      <c r="AC23" s="47">
        <f t="shared" si="4"/>
        <v>2.1770497636855115</v>
      </c>
      <c r="AD23" s="47">
        <f t="shared" si="4"/>
        <v>1.9705615728000863</v>
      </c>
      <c r="AE23" s="47">
        <f t="shared" si="4"/>
        <v>2.1534820969214588</v>
      </c>
      <c r="AF23" s="47">
        <f t="shared" si="4"/>
        <v>1.9480263469904604</v>
      </c>
      <c r="AG23" s="47">
        <f t="shared" si="4"/>
        <v>2.129778620132313</v>
      </c>
      <c r="AH23" s="47">
        <f t="shared" si="4"/>
        <v>1.9253501489509697</v>
      </c>
      <c r="AI23" s="47">
        <f t="shared" si="4"/>
        <v>2.1059349394010241</v>
      </c>
      <c r="AJ23" s="47">
        <f t="shared" si="4"/>
        <v>1.9025286105755865</v>
      </c>
      <c r="AK23" s="47">
        <f t="shared" ref="AK23:BD23" si="5">AK17-AK21</f>
        <v>2.0819465813207771</v>
      </c>
      <c r="AL23" s="47">
        <f t="shared" si="5"/>
        <v>1.8795572841394668</v>
      </c>
      <c r="AM23" s="47">
        <f t="shared" si="5"/>
        <v>2.0578089913632667</v>
      </c>
      <c r="AN23" s="47">
        <f t="shared" si="5"/>
        <v>1.8564316406678636</v>
      </c>
      <c r="AO23" s="47">
        <f t="shared" si="5"/>
        <v>2.033517532214526</v>
      </c>
      <c r="AP23" s="47">
        <f t="shared" si="5"/>
        <v>1.8331470682725999</v>
      </c>
      <c r="AQ23" s="47">
        <f t="shared" si="5"/>
        <v>2.0090674820776915</v>
      </c>
      <c r="AR23" s="47">
        <f t="shared" si="5"/>
        <v>1.8096988704554748</v>
      </c>
      <c r="AS23" s="47">
        <f t="shared" si="5"/>
        <v>1.9844540329420242</v>
      </c>
      <c r="AT23" s="47">
        <f t="shared" si="5"/>
        <v>1.7860822643779186</v>
      </c>
      <c r="AU23" s="47">
        <f t="shared" si="5"/>
        <v>1.1801465694119511</v>
      </c>
      <c r="AV23" s="47">
        <f t="shared" si="5"/>
        <v>1.0427301765680188</v>
      </c>
      <c r="AW23" s="47">
        <f t="shared" si="5"/>
        <v>1.1590891731259121</v>
      </c>
      <c r="AX23" s="47">
        <f t="shared" si="5"/>
        <v>1.0223598622461996</v>
      </c>
      <c r="AY23" s="47">
        <f t="shared" si="5"/>
        <v>1.1378339305525238</v>
      </c>
      <c r="AZ23" s="47">
        <f t="shared" si="5"/>
        <v>1.0017882662272097</v>
      </c>
      <c r="BA23" s="47">
        <f t="shared" si="5"/>
        <v>1.1163757682578472</v>
      </c>
      <c r="BB23" s="47">
        <f t="shared" si="5"/>
        <v>0.98101033225415979</v>
      </c>
      <c r="BC23" s="47">
        <f t="shared" si="5"/>
        <v>1.094709516921806</v>
      </c>
      <c r="BD23" s="47">
        <f t="shared" si="5"/>
        <v>0.96002090809813678</v>
      </c>
    </row>
    <row r="24" spans="1:56" ht="15.75" customHeight="1" x14ac:dyDescent="0.2">
      <c r="A24" s="29"/>
      <c r="B24" s="30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</row>
    <row r="25" spans="1:56" ht="15.75" customHeight="1" x14ac:dyDescent="0.2">
      <c r="A25" s="29"/>
      <c r="B25" s="27" t="s">
        <v>124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</row>
    <row r="26" spans="1:56" ht="15.75" customHeight="1" x14ac:dyDescent="0.2">
      <c r="A26" s="29"/>
      <c r="B26" s="30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</row>
    <row r="27" spans="1:56" ht="15.75" customHeight="1" x14ac:dyDescent="0.2">
      <c r="A27" s="29"/>
      <c r="B27" s="30" t="s">
        <v>125</v>
      </c>
      <c r="C27" s="29"/>
      <c r="D27" s="29"/>
      <c r="E27" s="37">
        <f>Construction!$C$36/Inputs!$C$24*Timing!E18*0.5</f>
        <v>0</v>
      </c>
      <c r="F27" s="37">
        <f>Construction!$C$36/Inputs!$C$24*Timing!F18*0.5</f>
        <v>0</v>
      </c>
      <c r="G27" s="37">
        <f>Construction!$C$36/Inputs!$C$24*Timing!G18*0.5</f>
        <v>1.0911138729083953</v>
      </c>
      <c r="H27" s="37">
        <f>Construction!$C$36/Inputs!$C$24*Timing!H18*0.5</f>
        <v>1.0911138729083953</v>
      </c>
      <c r="I27" s="37">
        <f>Construction!$C$36/Inputs!$C$24*Timing!I18*0.5</f>
        <v>1.0911138729083953</v>
      </c>
      <c r="J27" s="37">
        <f>Construction!$C$36/Inputs!$C$24*Timing!J18*0.5</f>
        <v>1.0911138729083953</v>
      </c>
      <c r="K27" s="37">
        <f>Construction!$C$36/Inputs!$C$24*Timing!K18*0.5</f>
        <v>1.0911138729083953</v>
      </c>
      <c r="L27" s="37">
        <f>Construction!$C$36/Inputs!$C$24*Timing!L18*0.5</f>
        <v>1.0911138729083953</v>
      </c>
      <c r="M27" s="37">
        <f>Construction!$C$36/Inputs!$C$24*Timing!M18*0.5</f>
        <v>1.0911138729083953</v>
      </c>
      <c r="N27" s="37">
        <f>Construction!$C$36/Inputs!$C$24*Timing!N18*0.5</f>
        <v>1.0911138729083953</v>
      </c>
      <c r="O27" s="37">
        <f>Construction!$C$36/Inputs!$C$24*Timing!O18*0.5</f>
        <v>1.0911138729083953</v>
      </c>
      <c r="P27" s="37">
        <f>Construction!$C$36/Inputs!$C$24*Timing!P18*0.5</f>
        <v>1.0911138729083953</v>
      </c>
      <c r="Q27" s="37">
        <f>Construction!$C$36/Inputs!$C$24*Timing!Q18*0.5</f>
        <v>1.0911138729083953</v>
      </c>
      <c r="R27" s="37">
        <f>Construction!$C$36/Inputs!$C$24*Timing!R18*0.5</f>
        <v>1.0911138729083953</v>
      </c>
      <c r="S27" s="37">
        <f>Construction!$C$36/Inputs!$C$24*Timing!S18*0.5</f>
        <v>1.0911138729083953</v>
      </c>
      <c r="T27" s="37">
        <f>Construction!$C$36/Inputs!$C$24*Timing!T18*0.5</f>
        <v>1.0911138729083953</v>
      </c>
      <c r="U27" s="37">
        <f>Construction!$C$36/Inputs!$C$24*Timing!U18*0.5</f>
        <v>1.0911138729083953</v>
      </c>
      <c r="V27" s="37">
        <f>Construction!$C$36/Inputs!$C$24*Timing!V18*0.5</f>
        <v>1.0911138729083953</v>
      </c>
      <c r="W27" s="37">
        <f>Construction!$C$36/Inputs!$C$24*Timing!W18*0.5</f>
        <v>1.0911138729083953</v>
      </c>
      <c r="X27" s="37">
        <f>Construction!$C$36/Inputs!$C$24*Timing!X18*0.5</f>
        <v>1.0911138729083953</v>
      </c>
      <c r="Y27" s="37">
        <f>Construction!$C$36/Inputs!$C$24*Timing!Y18*0.5</f>
        <v>1.0911138729083953</v>
      </c>
      <c r="Z27" s="37">
        <f>Construction!$C$36/Inputs!$C$24*Timing!Z18*0.5</f>
        <v>1.0911138729083953</v>
      </c>
      <c r="AA27" s="37">
        <f>Construction!$C$36/Inputs!$C$24*Timing!AA18*0.5</f>
        <v>1.0911138729083953</v>
      </c>
      <c r="AB27" s="37">
        <f>Construction!$C$36/Inputs!$C$24*Timing!AB18*0.5</f>
        <v>1.0911138729083953</v>
      </c>
      <c r="AC27" s="37">
        <f>Construction!$C$36/Inputs!$C$24*Timing!AC18*0.5</f>
        <v>1.0911138729083953</v>
      </c>
      <c r="AD27" s="37">
        <f>Construction!$C$36/Inputs!$C$24*Timing!AD18*0.5</f>
        <v>1.0911138729083953</v>
      </c>
      <c r="AE27" s="37">
        <f>Construction!$C$36/Inputs!$C$24*Timing!AE18*0.5</f>
        <v>1.0911138729083953</v>
      </c>
      <c r="AF27" s="37">
        <f>Construction!$C$36/Inputs!$C$24*Timing!AF18*0.5</f>
        <v>1.0911138729083953</v>
      </c>
      <c r="AG27" s="37">
        <f>Construction!$C$36/Inputs!$C$24*Timing!AG18*0.5</f>
        <v>1.0911138729083953</v>
      </c>
      <c r="AH27" s="37">
        <f>Construction!$C$36/Inputs!$C$24*Timing!AH18*0.5</f>
        <v>1.0911138729083953</v>
      </c>
      <c r="AI27" s="37">
        <f>Construction!$C$36/Inputs!$C$24*Timing!AI18*0.5</f>
        <v>1.0911138729083953</v>
      </c>
      <c r="AJ27" s="37">
        <f>Construction!$C$36/Inputs!$C$24*Timing!AJ18*0.5</f>
        <v>1.0911138729083953</v>
      </c>
      <c r="AK27" s="37">
        <f>Construction!$C$36/Inputs!$C$24*Timing!AK18*0.5</f>
        <v>1.0911138729083953</v>
      </c>
      <c r="AL27" s="37">
        <f>Construction!$C$36/Inputs!$C$24*Timing!AL18*0.5</f>
        <v>1.0911138729083953</v>
      </c>
      <c r="AM27" s="37">
        <f>Construction!$C$36/Inputs!$C$24*Timing!AM18*0.5</f>
        <v>1.0911138729083953</v>
      </c>
      <c r="AN27" s="37">
        <f>Construction!$C$36/Inputs!$C$24*Timing!AN18*0.5</f>
        <v>1.0911138729083953</v>
      </c>
      <c r="AO27" s="37">
        <f>Construction!$C$36/Inputs!$C$24*Timing!AO18*0.5</f>
        <v>1.0911138729083953</v>
      </c>
      <c r="AP27" s="37">
        <f>Construction!$C$36/Inputs!$C$24*Timing!AP18*0.5</f>
        <v>1.0911138729083953</v>
      </c>
      <c r="AQ27" s="37">
        <f>Construction!$C$36/Inputs!$C$24*Timing!AQ18*0.5</f>
        <v>1.0911138729083953</v>
      </c>
      <c r="AR27" s="37">
        <f>Construction!$C$36/Inputs!$C$24*Timing!AR18*0.5</f>
        <v>1.0911138729083953</v>
      </c>
      <c r="AS27" s="37">
        <f>Construction!$C$36/Inputs!$C$24*Timing!AS18*0.5</f>
        <v>1.0911138729083953</v>
      </c>
      <c r="AT27" s="37">
        <f>Construction!$C$36/Inputs!$C$24*Timing!AT18*0.5</f>
        <v>1.0911138729083953</v>
      </c>
      <c r="AU27" s="37">
        <f>Construction!$C$36/Inputs!$C$24*Timing!AU18*0.5</f>
        <v>0</v>
      </c>
      <c r="AV27" s="37">
        <f>Construction!$C$36/Inputs!$C$24*Timing!AV18*0.5</f>
        <v>0</v>
      </c>
      <c r="AW27" s="37">
        <f>Construction!$C$36/Inputs!$C$24*Timing!AW18*0.5</f>
        <v>0</v>
      </c>
      <c r="AX27" s="37">
        <f>Construction!$C$36/Inputs!$C$24*Timing!AX18*0.5</f>
        <v>0</v>
      </c>
      <c r="AY27" s="37">
        <f>Construction!$C$36/Inputs!$C$24*Timing!AY18*0.5</f>
        <v>0</v>
      </c>
      <c r="AZ27" s="37">
        <f>Construction!$C$36/Inputs!$C$24*Timing!AZ18*0.5</f>
        <v>0</v>
      </c>
      <c r="BA27" s="37">
        <f>Construction!$C$36/Inputs!$C$24*Timing!BA18*0.5</f>
        <v>0</v>
      </c>
      <c r="BB27" s="37">
        <f>Construction!$C$36/Inputs!$C$24*Timing!BB18*0.5</f>
        <v>0</v>
      </c>
      <c r="BC27" s="37">
        <f>Construction!$C$36/Inputs!$C$24*Timing!BC18*0.5</f>
        <v>0</v>
      </c>
      <c r="BD27" s="37">
        <f>Construction!$C$36/Inputs!$C$24*Timing!BD18*0.5</f>
        <v>0</v>
      </c>
    </row>
    <row r="28" spans="1:56" ht="15.75" customHeight="1" x14ac:dyDescent="0.2">
      <c r="A28" s="29"/>
      <c r="B28" s="30" t="s">
        <v>126</v>
      </c>
      <c r="C28" s="29"/>
      <c r="D28" s="29"/>
      <c r="E28" s="37">
        <f t="shared" ref="E28:AJ28" si="6">E23-E27</f>
        <v>0</v>
      </c>
      <c r="F28" s="37">
        <f t="shared" si="6"/>
        <v>0</v>
      </c>
      <c r="G28" s="37">
        <f t="shared" si="6"/>
        <v>1.3373985070916046</v>
      </c>
      <c r="H28" s="37">
        <f t="shared" si="6"/>
        <v>1.119205247091605</v>
      </c>
      <c r="I28" s="37">
        <f t="shared" si="6"/>
        <v>1.3150559451916042</v>
      </c>
      <c r="J28" s="37">
        <f t="shared" si="6"/>
        <v>1.0979536514916046</v>
      </c>
      <c r="K28" s="37">
        <f t="shared" si="6"/>
        <v>1.2926210961011044</v>
      </c>
      <c r="L28" s="37">
        <f t="shared" si="6"/>
        <v>1.0766043138696042</v>
      </c>
      <c r="M28" s="37">
        <f t="shared" si="6"/>
        <v>1.2700903412560565</v>
      </c>
      <c r="N28" s="37">
        <f t="shared" si="6"/>
        <v>1.0551536429357142</v>
      </c>
      <c r="O28" s="37">
        <f t="shared" si="6"/>
        <v>1.2474599985852355</v>
      </c>
      <c r="P28" s="37">
        <f t="shared" si="6"/>
        <v>1.0335979837564939</v>
      </c>
      <c r="Q28" s="37">
        <f t="shared" si="6"/>
        <v>1.2247263211957673</v>
      </c>
      <c r="R28" s="37">
        <f t="shared" si="6"/>
        <v>1.0119336164411696</v>
      </c>
      <c r="S28" s="37">
        <f t="shared" si="6"/>
        <v>1.201885496032606</v>
      </c>
      <c r="T28" s="37">
        <f t="shared" si="6"/>
        <v>0.99015675480178222</v>
      </c>
      <c r="U28" s="37">
        <f t="shared" si="6"/>
        <v>1.1789336425114083</v>
      </c>
      <c r="V28" s="37">
        <f t="shared" si="6"/>
        <v>0.96826354498673783</v>
      </c>
      <c r="W28" s="37">
        <f t="shared" si="6"/>
        <v>1.1558668111242874</v>
      </c>
      <c r="X28" s="37">
        <f t="shared" si="6"/>
        <v>0.94625006408723955</v>
      </c>
      <c r="Y28" s="37">
        <f t="shared" si="6"/>
        <v>1.1326809820179005</v>
      </c>
      <c r="Z28" s="37">
        <f t="shared" si="6"/>
        <v>0.92411231871603849</v>
      </c>
      <c r="AA28" s="37">
        <f t="shared" si="6"/>
        <v>1.1093720635433209</v>
      </c>
      <c r="AB28" s="37">
        <f t="shared" si="6"/>
        <v>0.90184624355796905</v>
      </c>
      <c r="AC28" s="37">
        <f t="shared" si="6"/>
        <v>1.0859358907771162</v>
      </c>
      <c r="AD28" s="37">
        <f t="shared" si="6"/>
        <v>0.87944769989169091</v>
      </c>
      <c r="AE28" s="37">
        <f t="shared" si="6"/>
        <v>1.0623682240130634</v>
      </c>
      <c r="AF28" s="37">
        <f t="shared" si="6"/>
        <v>0.85691247408206506</v>
      </c>
      <c r="AG28" s="37">
        <f t="shared" si="6"/>
        <v>1.0386647472239177</v>
      </c>
      <c r="AH28" s="37">
        <f t="shared" si="6"/>
        <v>0.83423627604257433</v>
      </c>
      <c r="AI28" s="37">
        <f t="shared" si="6"/>
        <v>1.0148210664926287</v>
      </c>
      <c r="AJ28" s="37">
        <f t="shared" si="6"/>
        <v>0.81141473766719119</v>
      </c>
      <c r="AK28" s="37">
        <f t="shared" ref="AK28:BD28" si="7">AK23-AK27</f>
        <v>0.9908327084123818</v>
      </c>
      <c r="AL28" s="37">
        <f t="shared" si="7"/>
        <v>0.78844341123107142</v>
      </c>
      <c r="AM28" s="37">
        <f t="shared" si="7"/>
        <v>0.96669511845487133</v>
      </c>
      <c r="AN28" s="37">
        <f t="shared" si="7"/>
        <v>0.76531776775946825</v>
      </c>
      <c r="AO28" s="37">
        <f t="shared" si="7"/>
        <v>0.94240365930613068</v>
      </c>
      <c r="AP28" s="37">
        <f t="shared" si="7"/>
        <v>0.74203319536420453</v>
      </c>
      <c r="AQ28" s="37">
        <f t="shared" si="7"/>
        <v>0.91795360916929614</v>
      </c>
      <c r="AR28" s="37">
        <f t="shared" si="7"/>
        <v>0.7185849975470795</v>
      </c>
      <c r="AS28" s="37">
        <f t="shared" si="7"/>
        <v>0.89334016003362882</v>
      </c>
      <c r="AT28" s="37">
        <f t="shared" si="7"/>
        <v>0.69496839146952327</v>
      </c>
      <c r="AU28" s="37">
        <f t="shared" si="7"/>
        <v>1.1801465694119511</v>
      </c>
      <c r="AV28" s="37">
        <f t="shared" si="7"/>
        <v>1.0427301765680188</v>
      </c>
      <c r="AW28" s="37">
        <f t="shared" si="7"/>
        <v>1.1590891731259121</v>
      </c>
      <c r="AX28" s="37">
        <f t="shared" si="7"/>
        <v>1.0223598622461996</v>
      </c>
      <c r="AY28" s="37">
        <f t="shared" si="7"/>
        <v>1.1378339305525238</v>
      </c>
      <c r="AZ28" s="37">
        <f t="shared" si="7"/>
        <v>1.0017882662272097</v>
      </c>
      <c r="BA28" s="37">
        <f t="shared" si="7"/>
        <v>1.1163757682578472</v>
      </c>
      <c r="BB28" s="37">
        <f t="shared" si="7"/>
        <v>0.98101033225415979</v>
      </c>
      <c r="BC28" s="37">
        <f t="shared" si="7"/>
        <v>1.094709516921806</v>
      </c>
      <c r="BD28" s="37">
        <f t="shared" si="7"/>
        <v>0.96002090809813678</v>
      </c>
    </row>
    <row r="29" spans="1:56" ht="15.75" customHeight="1" x14ac:dyDescent="0.2">
      <c r="A29" s="29"/>
      <c r="B29" s="30" t="s">
        <v>127</v>
      </c>
      <c r="C29" s="29"/>
      <c r="D29" s="29"/>
      <c r="E29" s="37">
        <f>Debt!E30</f>
        <v>0</v>
      </c>
      <c r="F29" s="37">
        <f>Debt!F30</f>
        <v>0</v>
      </c>
      <c r="G29" s="37">
        <f>Debt!G30</f>
        <v>0.73031250000000003</v>
      </c>
      <c r="H29" s="37">
        <f>Debt!H30</f>
        <v>0.71044634508467741</v>
      </c>
      <c r="I29" s="37">
        <f>Debt!I30</f>
        <v>0.6934516528126965</v>
      </c>
      <c r="J29" s="37">
        <f>Debt!J30</f>
        <v>0.67305239848320775</v>
      </c>
      <c r="K29" s="37">
        <f>Debt!K30</f>
        <v>0.65549522926686132</v>
      </c>
      <c r="L29" s="37">
        <f>Debt!L30</f>
        <v>0.63453826966261018</v>
      </c>
      <c r="M29" s="37">
        <f>Debt!M30</f>
        <v>0.6163935168342084</v>
      </c>
      <c r="N29" s="37">
        <f>Debt!N30</f>
        <v>0.59485312086779141</v>
      </c>
      <c r="O29" s="37">
        <f>Debt!O30</f>
        <v>0.5760945253907902</v>
      </c>
      <c r="P29" s="37">
        <f>Debt!P30</f>
        <v>0.55394378362819319</v>
      </c>
      <c r="Q29" s="37">
        <f>Debt!Q30</f>
        <v>0.53454387971788464</v>
      </c>
      <c r="R29" s="37">
        <f>Debt!R30</f>
        <v>0.51175464872571741</v>
      </c>
      <c r="S29" s="37">
        <f>Debt!S30</f>
        <v>0.4916847068767905</v>
      </c>
      <c r="T29" s="37">
        <f>Debt!T30</f>
        <v>0.4682275509152119</v>
      </c>
      <c r="U29" s="37">
        <f>Debt!U30</f>
        <v>0.44745751821195356</v>
      </c>
      <c r="V29" s="37">
        <f>Debt!V30</f>
        <v>0.42330164814611948</v>
      </c>
      <c r="W29" s="37">
        <f>Debt!W30</f>
        <v>0.40180008572506765</v>
      </c>
      <c r="X29" s="37">
        <f>Debt!X30</f>
        <v>0.37691329502182752</v>
      </c>
      <c r="Y29" s="37">
        <f>Debt!Y30</f>
        <v>0.35464731255043702</v>
      </c>
      <c r="Z29" s="37">
        <f>Debt!Z30</f>
        <v>0.32899591022060698</v>
      </c>
      <c r="AA29" s="37">
        <f>Debt!AA30</f>
        <v>0.30593109724893974</v>
      </c>
      <c r="AB29" s="37">
        <f>Debt!AB30</f>
        <v>0.27947983758877737</v>
      </c>
      <c r="AC29" s="37">
        <f>Debt!AC30</f>
        <v>0.25558019162436496</v>
      </c>
      <c r="AD29" s="37">
        <f>Debt!AD30</f>
        <v>0.22829220060284305</v>
      </c>
      <c r="AE29" s="37">
        <f>Debt!AE30</f>
        <v>0.20352005175167537</v>
      </c>
      <c r="AF29" s="37">
        <f>Debt!AF30</f>
        <v>0.17535674988278757</v>
      </c>
      <c r="AG29" s="37">
        <f>Debt!AG30</f>
        <v>0.14967268189184349</v>
      </c>
      <c r="AH29" s="37">
        <f>Debt!AH30</f>
        <v>0.12059370342345707</v>
      </c>
      <c r="AI29" s="37">
        <f>Debt!AI30</f>
        <v>9.395647095228965E-2</v>
      </c>
      <c r="AJ29" s="37">
        <f>Debt!AJ30</f>
        <v>6.3919579194971474E-2</v>
      </c>
      <c r="AK29" s="37">
        <f>Debt!AK30</f>
        <v>3.6286021135580958E-2</v>
      </c>
      <c r="AL29" s="37">
        <f>Debt!AL30</f>
        <v>5.2470197463455517E-3</v>
      </c>
      <c r="AM29" s="37">
        <f>Debt!AM30</f>
        <v>0</v>
      </c>
      <c r="AN29" s="37">
        <f>Debt!AN30</f>
        <v>0</v>
      </c>
      <c r="AO29" s="37">
        <f>Debt!AO30</f>
        <v>0</v>
      </c>
      <c r="AP29" s="37">
        <f>Debt!AP30</f>
        <v>0</v>
      </c>
      <c r="AQ29" s="37">
        <f>Debt!AQ30</f>
        <v>0</v>
      </c>
      <c r="AR29" s="37">
        <f>Debt!AR30</f>
        <v>0</v>
      </c>
      <c r="AS29" s="37">
        <f>Debt!AS30</f>
        <v>0</v>
      </c>
      <c r="AT29" s="37">
        <f>Debt!AT30</f>
        <v>0</v>
      </c>
      <c r="AU29" s="37">
        <f>Debt!AU30</f>
        <v>0</v>
      </c>
      <c r="AV29" s="37">
        <f>Debt!AV30</f>
        <v>0</v>
      </c>
      <c r="AW29" s="37">
        <f>Debt!AW30</f>
        <v>0</v>
      </c>
      <c r="AX29" s="37">
        <f>Debt!AX30</f>
        <v>0</v>
      </c>
      <c r="AY29" s="37">
        <f>Debt!AY30</f>
        <v>0</v>
      </c>
      <c r="AZ29" s="37">
        <f>Debt!AZ30</f>
        <v>0</v>
      </c>
      <c r="BA29" s="37">
        <f>Debt!BA30</f>
        <v>0</v>
      </c>
      <c r="BB29" s="37">
        <f>Debt!BB30</f>
        <v>0</v>
      </c>
      <c r="BC29" s="37">
        <f>Debt!BC30</f>
        <v>0</v>
      </c>
      <c r="BD29" s="37">
        <f>Debt!BD30</f>
        <v>0</v>
      </c>
    </row>
    <row r="30" spans="1:56" ht="15.75" customHeight="1" x14ac:dyDescent="0.2">
      <c r="A30" s="29"/>
      <c r="B30" s="30" t="s">
        <v>128</v>
      </c>
      <c r="C30" s="29"/>
      <c r="D30" s="29"/>
      <c r="E30" s="37">
        <f t="shared" ref="E30:AJ30" si="8">E28-E29</f>
        <v>0</v>
      </c>
      <c r="F30" s="37">
        <f t="shared" si="8"/>
        <v>0</v>
      </c>
      <c r="G30" s="37">
        <f t="shared" si="8"/>
        <v>0.60708600709160454</v>
      </c>
      <c r="H30" s="37">
        <f t="shared" si="8"/>
        <v>0.40875890200692755</v>
      </c>
      <c r="I30" s="37">
        <f t="shared" si="8"/>
        <v>0.62160429237890769</v>
      </c>
      <c r="J30" s="37">
        <f t="shared" si="8"/>
        <v>0.42490125300839687</v>
      </c>
      <c r="K30" s="37">
        <f t="shared" si="8"/>
        <v>0.6371258668342431</v>
      </c>
      <c r="L30" s="37">
        <f t="shared" si="8"/>
        <v>0.44206604420699402</v>
      </c>
      <c r="M30" s="37">
        <f t="shared" si="8"/>
        <v>0.65369682442184807</v>
      </c>
      <c r="N30" s="37">
        <f t="shared" si="8"/>
        <v>0.46030052206792282</v>
      </c>
      <c r="O30" s="37">
        <f t="shared" si="8"/>
        <v>0.67136547319444528</v>
      </c>
      <c r="P30" s="37">
        <f t="shared" si="8"/>
        <v>0.47965420012830073</v>
      </c>
      <c r="Q30" s="37">
        <f t="shared" si="8"/>
        <v>0.69018244147788266</v>
      </c>
      <c r="R30" s="37">
        <f t="shared" si="8"/>
        <v>0.50017896771545223</v>
      </c>
      <c r="S30" s="37">
        <f t="shared" si="8"/>
        <v>0.71020078915581553</v>
      </c>
      <c r="T30" s="37">
        <f t="shared" si="8"/>
        <v>0.52192920388657038</v>
      </c>
      <c r="U30" s="37">
        <f t="shared" si="8"/>
        <v>0.73147612429945474</v>
      </c>
      <c r="V30" s="37">
        <f t="shared" si="8"/>
        <v>0.54496189684061835</v>
      </c>
      <c r="W30" s="37">
        <f t="shared" si="8"/>
        <v>0.75406672539921971</v>
      </c>
      <c r="X30" s="37">
        <f t="shared" si="8"/>
        <v>0.56933676906541208</v>
      </c>
      <c r="Y30" s="37">
        <f t="shared" si="8"/>
        <v>0.77803366946746344</v>
      </c>
      <c r="Z30" s="37">
        <f t="shared" si="8"/>
        <v>0.59511640849543146</v>
      </c>
      <c r="AA30" s="37">
        <f t="shared" si="8"/>
        <v>0.80344096629438111</v>
      </c>
      <c r="AB30" s="37">
        <f t="shared" si="8"/>
        <v>0.62236640596919168</v>
      </c>
      <c r="AC30" s="37">
        <f t="shared" si="8"/>
        <v>0.8303556991527512</v>
      </c>
      <c r="AD30" s="37">
        <f t="shared" si="8"/>
        <v>0.65115549928884786</v>
      </c>
      <c r="AE30" s="37">
        <f t="shared" si="8"/>
        <v>0.8588481722613881</v>
      </c>
      <c r="AF30" s="37">
        <f t="shared" si="8"/>
        <v>0.68155572419927746</v>
      </c>
      <c r="AG30" s="37">
        <f t="shared" si="8"/>
        <v>0.8889920653320742</v>
      </c>
      <c r="AH30" s="37">
        <f t="shared" si="8"/>
        <v>0.71364257261911723</v>
      </c>
      <c r="AI30" s="37">
        <f t="shared" si="8"/>
        <v>0.92086459554033906</v>
      </c>
      <c r="AJ30" s="37">
        <f t="shared" si="8"/>
        <v>0.7474951584722197</v>
      </c>
      <c r="AK30" s="37">
        <f t="shared" ref="AK30:BD30" si="9">AK28-AK29</f>
        <v>0.95454668727680081</v>
      </c>
      <c r="AL30" s="37">
        <f t="shared" si="9"/>
        <v>0.78319639148472586</v>
      </c>
      <c r="AM30" s="37">
        <f t="shared" si="9"/>
        <v>0.96669511845487133</v>
      </c>
      <c r="AN30" s="37">
        <f t="shared" si="9"/>
        <v>0.76531776775946825</v>
      </c>
      <c r="AO30" s="37">
        <f t="shared" si="9"/>
        <v>0.94240365930613068</v>
      </c>
      <c r="AP30" s="37">
        <f t="shared" si="9"/>
        <v>0.74203319536420453</v>
      </c>
      <c r="AQ30" s="37">
        <f t="shared" si="9"/>
        <v>0.91795360916929614</v>
      </c>
      <c r="AR30" s="37">
        <f t="shared" si="9"/>
        <v>0.7185849975470795</v>
      </c>
      <c r="AS30" s="37">
        <f t="shared" si="9"/>
        <v>0.89334016003362882</v>
      </c>
      <c r="AT30" s="37">
        <f t="shared" si="9"/>
        <v>0.69496839146952327</v>
      </c>
      <c r="AU30" s="37">
        <f t="shared" si="9"/>
        <v>1.1801465694119511</v>
      </c>
      <c r="AV30" s="37">
        <f t="shared" si="9"/>
        <v>1.0427301765680188</v>
      </c>
      <c r="AW30" s="37">
        <f t="shared" si="9"/>
        <v>1.1590891731259121</v>
      </c>
      <c r="AX30" s="37">
        <f t="shared" si="9"/>
        <v>1.0223598622461996</v>
      </c>
      <c r="AY30" s="37">
        <f t="shared" si="9"/>
        <v>1.1378339305525238</v>
      </c>
      <c r="AZ30" s="37">
        <f t="shared" si="9"/>
        <v>1.0017882662272097</v>
      </c>
      <c r="BA30" s="37">
        <f t="shared" si="9"/>
        <v>1.1163757682578472</v>
      </c>
      <c r="BB30" s="37">
        <f t="shared" si="9"/>
        <v>0.98101033225415979</v>
      </c>
      <c r="BC30" s="37">
        <f t="shared" si="9"/>
        <v>1.094709516921806</v>
      </c>
      <c r="BD30" s="37">
        <f t="shared" si="9"/>
        <v>0.96002090809813678</v>
      </c>
    </row>
    <row r="31" spans="1:56" ht="15.75" customHeight="1" x14ac:dyDescent="0.2">
      <c r="A31" s="29"/>
      <c r="B31" s="30" t="s">
        <v>129</v>
      </c>
      <c r="C31" s="29"/>
      <c r="D31" s="29"/>
      <c r="E31" s="37">
        <f t="shared" ref="E31:AJ31" si="10">IF(E30&lt;0,(D33+E30),0)</f>
        <v>0</v>
      </c>
      <c r="F31" s="37">
        <f t="shared" si="10"/>
        <v>0</v>
      </c>
      <c r="G31" s="37">
        <f t="shared" si="10"/>
        <v>0</v>
      </c>
      <c r="H31" s="37">
        <f t="shared" si="10"/>
        <v>0</v>
      </c>
      <c r="I31" s="37">
        <f t="shared" si="10"/>
        <v>0</v>
      </c>
      <c r="J31" s="37">
        <f t="shared" si="10"/>
        <v>0</v>
      </c>
      <c r="K31" s="37">
        <f t="shared" si="10"/>
        <v>0</v>
      </c>
      <c r="L31" s="37">
        <f t="shared" si="10"/>
        <v>0</v>
      </c>
      <c r="M31" s="37">
        <f t="shared" si="10"/>
        <v>0</v>
      </c>
      <c r="N31" s="37">
        <f t="shared" si="10"/>
        <v>0</v>
      </c>
      <c r="O31" s="37">
        <f t="shared" si="10"/>
        <v>0</v>
      </c>
      <c r="P31" s="37">
        <f t="shared" si="10"/>
        <v>0</v>
      </c>
      <c r="Q31" s="37">
        <f t="shared" si="10"/>
        <v>0</v>
      </c>
      <c r="R31" s="37">
        <f t="shared" si="10"/>
        <v>0</v>
      </c>
      <c r="S31" s="37">
        <f t="shared" si="10"/>
        <v>0</v>
      </c>
      <c r="T31" s="37">
        <f t="shared" si="10"/>
        <v>0</v>
      </c>
      <c r="U31" s="37">
        <f t="shared" si="10"/>
        <v>0</v>
      </c>
      <c r="V31" s="37">
        <f t="shared" si="10"/>
        <v>0</v>
      </c>
      <c r="W31" s="37">
        <f t="shared" si="10"/>
        <v>0</v>
      </c>
      <c r="X31" s="37">
        <f t="shared" si="10"/>
        <v>0</v>
      </c>
      <c r="Y31" s="37">
        <f t="shared" si="10"/>
        <v>0</v>
      </c>
      <c r="Z31" s="37">
        <f t="shared" si="10"/>
        <v>0</v>
      </c>
      <c r="AA31" s="37">
        <f t="shared" si="10"/>
        <v>0</v>
      </c>
      <c r="AB31" s="37">
        <f t="shared" si="10"/>
        <v>0</v>
      </c>
      <c r="AC31" s="37">
        <f t="shared" si="10"/>
        <v>0</v>
      </c>
      <c r="AD31" s="37">
        <f t="shared" si="10"/>
        <v>0</v>
      </c>
      <c r="AE31" s="37">
        <f t="shared" si="10"/>
        <v>0</v>
      </c>
      <c r="AF31" s="37">
        <f t="shared" si="10"/>
        <v>0</v>
      </c>
      <c r="AG31" s="37">
        <f t="shared" si="10"/>
        <v>0</v>
      </c>
      <c r="AH31" s="37">
        <f t="shared" si="10"/>
        <v>0</v>
      </c>
      <c r="AI31" s="37">
        <f t="shared" si="10"/>
        <v>0</v>
      </c>
      <c r="AJ31" s="37">
        <f t="shared" si="10"/>
        <v>0</v>
      </c>
      <c r="AK31" s="37">
        <f t="shared" ref="AK31:BD31" si="11">IF(AK30&lt;0,(AJ33+AK30),0)</f>
        <v>0</v>
      </c>
      <c r="AL31" s="37">
        <f t="shared" si="11"/>
        <v>0</v>
      </c>
      <c r="AM31" s="37">
        <f t="shared" si="11"/>
        <v>0</v>
      </c>
      <c r="AN31" s="37">
        <f t="shared" si="11"/>
        <v>0</v>
      </c>
      <c r="AO31" s="37">
        <f t="shared" si="11"/>
        <v>0</v>
      </c>
      <c r="AP31" s="37">
        <f t="shared" si="11"/>
        <v>0</v>
      </c>
      <c r="AQ31" s="37">
        <f t="shared" si="11"/>
        <v>0</v>
      </c>
      <c r="AR31" s="37">
        <f t="shared" si="11"/>
        <v>0</v>
      </c>
      <c r="AS31" s="37">
        <f t="shared" si="11"/>
        <v>0</v>
      </c>
      <c r="AT31" s="37">
        <f t="shared" si="11"/>
        <v>0</v>
      </c>
      <c r="AU31" s="37">
        <f t="shared" si="11"/>
        <v>0</v>
      </c>
      <c r="AV31" s="37">
        <f t="shared" si="11"/>
        <v>0</v>
      </c>
      <c r="AW31" s="37">
        <f t="shared" si="11"/>
        <v>0</v>
      </c>
      <c r="AX31" s="37">
        <f t="shared" si="11"/>
        <v>0</v>
      </c>
      <c r="AY31" s="37">
        <f t="shared" si="11"/>
        <v>0</v>
      </c>
      <c r="AZ31" s="37">
        <f t="shared" si="11"/>
        <v>0</v>
      </c>
      <c r="BA31" s="37">
        <f t="shared" si="11"/>
        <v>0</v>
      </c>
      <c r="BB31" s="37">
        <f t="shared" si="11"/>
        <v>0</v>
      </c>
      <c r="BC31" s="37">
        <f t="shared" si="11"/>
        <v>0</v>
      </c>
      <c r="BD31" s="37">
        <f t="shared" si="11"/>
        <v>0</v>
      </c>
    </row>
    <row r="32" spans="1:56" ht="15.75" customHeight="1" x14ac:dyDescent="0.2">
      <c r="A32" s="29"/>
      <c r="B32" s="30" t="s">
        <v>130</v>
      </c>
      <c r="C32" s="29"/>
      <c r="D32" s="29"/>
      <c r="E32" s="37">
        <f t="shared" ref="E32:AJ32" si="12">MAX(0,E30-E31)</f>
        <v>0</v>
      </c>
      <c r="F32" s="37">
        <f t="shared" si="12"/>
        <v>0</v>
      </c>
      <c r="G32" s="37">
        <f t="shared" si="12"/>
        <v>0.60708600709160454</v>
      </c>
      <c r="H32" s="37">
        <f t="shared" si="12"/>
        <v>0.40875890200692755</v>
      </c>
      <c r="I32" s="37">
        <f t="shared" si="12"/>
        <v>0.62160429237890769</v>
      </c>
      <c r="J32" s="37">
        <f t="shared" si="12"/>
        <v>0.42490125300839687</v>
      </c>
      <c r="K32" s="37">
        <f t="shared" si="12"/>
        <v>0.6371258668342431</v>
      </c>
      <c r="L32" s="37">
        <f t="shared" si="12"/>
        <v>0.44206604420699402</v>
      </c>
      <c r="M32" s="37">
        <f t="shared" si="12"/>
        <v>0.65369682442184807</v>
      </c>
      <c r="N32" s="37">
        <f t="shared" si="12"/>
        <v>0.46030052206792282</v>
      </c>
      <c r="O32" s="37">
        <f t="shared" si="12"/>
        <v>0.67136547319444528</v>
      </c>
      <c r="P32" s="37">
        <f t="shared" si="12"/>
        <v>0.47965420012830073</v>
      </c>
      <c r="Q32" s="37">
        <f t="shared" si="12"/>
        <v>0.69018244147788266</v>
      </c>
      <c r="R32" s="37">
        <f t="shared" si="12"/>
        <v>0.50017896771545223</v>
      </c>
      <c r="S32" s="37">
        <f t="shared" si="12"/>
        <v>0.71020078915581553</v>
      </c>
      <c r="T32" s="37">
        <f t="shared" si="12"/>
        <v>0.52192920388657038</v>
      </c>
      <c r="U32" s="37">
        <f t="shared" si="12"/>
        <v>0.73147612429945474</v>
      </c>
      <c r="V32" s="37">
        <f t="shared" si="12"/>
        <v>0.54496189684061835</v>
      </c>
      <c r="W32" s="37">
        <f t="shared" si="12"/>
        <v>0.75406672539921971</v>
      </c>
      <c r="X32" s="37">
        <f t="shared" si="12"/>
        <v>0.56933676906541208</v>
      </c>
      <c r="Y32" s="37">
        <f t="shared" si="12"/>
        <v>0.77803366946746344</v>
      </c>
      <c r="Z32" s="37">
        <f t="shared" si="12"/>
        <v>0.59511640849543146</v>
      </c>
      <c r="AA32" s="37">
        <f t="shared" si="12"/>
        <v>0.80344096629438111</v>
      </c>
      <c r="AB32" s="37">
        <f t="shared" si="12"/>
        <v>0.62236640596919168</v>
      </c>
      <c r="AC32" s="37">
        <f t="shared" si="12"/>
        <v>0.8303556991527512</v>
      </c>
      <c r="AD32" s="37">
        <f t="shared" si="12"/>
        <v>0.65115549928884786</v>
      </c>
      <c r="AE32" s="37">
        <f t="shared" si="12"/>
        <v>0.8588481722613881</v>
      </c>
      <c r="AF32" s="37">
        <f t="shared" si="12"/>
        <v>0.68155572419927746</v>
      </c>
      <c r="AG32" s="37">
        <f t="shared" si="12"/>
        <v>0.8889920653320742</v>
      </c>
      <c r="AH32" s="37">
        <f t="shared" si="12"/>
        <v>0.71364257261911723</v>
      </c>
      <c r="AI32" s="37">
        <f t="shared" si="12"/>
        <v>0.92086459554033906</v>
      </c>
      <c r="AJ32" s="37">
        <f t="shared" si="12"/>
        <v>0.7474951584722197</v>
      </c>
      <c r="AK32" s="37">
        <f t="shared" ref="AK32:BD32" si="13">MAX(0,AK30-AK31)</f>
        <v>0.95454668727680081</v>
      </c>
      <c r="AL32" s="37">
        <f t="shared" si="13"/>
        <v>0.78319639148472586</v>
      </c>
      <c r="AM32" s="37">
        <f t="shared" si="13"/>
        <v>0.96669511845487133</v>
      </c>
      <c r="AN32" s="37">
        <f t="shared" si="13"/>
        <v>0.76531776775946825</v>
      </c>
      <c r="AO32" s="37">
        <f t="shared" si="13"/>
        <v>0.94240365930613068</v>
      </c>
      <c r="AP32" s="37">
        <f t="shared" si="13"/>
        <v>0.74203319536420453</v>
      </c>
      <c r="AQ32" s="37">
        <f t="shared" si="13"/>
        <v>0.91795360916929614</v>
      </c>
      <c r="AR32" s="37">
        <f t="shared" si="13"/>
        <v>0.7185849975470795</v>
      </c>
      <c r="AS32" s="37">
        <f t="shared" si="13"/>
        <v>0.89334016003362882</v>
      </c>
      <c r="AT32" s="37">
        <f t="shared" si="13"/>
        <v>0.69496839146952327</v>
      </c>
      <c r="AU32" s="37">
        <f t="shared" si="13"/>
        <v>1.1801465694119511</v>
      </c>
      <c r="AV32" s="37">
        <f t="shared" si="13"/>
        <v>1.0427301765680188</v>
      </c>
      <c r="AW32" s="37">
        <f t="shared" si="13"/>
        <v>1.1590891731259121</v>
      </c>
      <c r="AX32" s="37">
        <f t="shared" si="13"/>
        <v>1.0223598622461996</v>
      </c>
      <c r="AY32" s="37">
        <f t="shared" si="13"/>
        <v>1.1378339305525238</v>
      </c>
      <c r="AZ32" s="37">
        <f t="shared" si="13"/>
        <v>1.0017882662272097</v>
      </c>
      <c r="BA32" s="37">
        <f t="shared" si="13"/>
        <v>1.1163757682578472</v>
      </c>
      <c r="BB32" s="37">
        <f t="shared" si="13"/>
        <v>0.98101033225415979</v>
      </c>
      <c r="BC32" s="37">
        <f t="shared" si="13"/>
        <v>1.094709516921806</v>
      </c>
      <c r="BD32" s="37">
        <f t="shared" si="13"/>
        <v>0.96002090809813678</v>
      </c>
    </row>
    <row r="33" spans="1:56" ht="15.75" customHeight="1" x14ac:dyDescent="0.2">
      <c r="A33" s="29"/>
      <c r="B33" s="30" t="s">
        <v>131</v>
      </c>
      <c r="C33" s="29"/>
      <c r="D33" s="29">
        <v>0</v>
      </c>
      <c r="E33" s="37">
        <f t="shared" ref="E33:AJ33" si="14">MAX(0,E31-E30)</f>
        <v>0</v>
      </c>
      <c r="F33" s="37">
        <f t="shared" si="14"/>
        <v>0</v>
      </c>
      <c r="G33" s="37">
        <f t="shared" si="14"/>
        <v>0</v>
      </c>
      <c r="H33" s="37">
        <f t="shared" si="14"/>
        <v>0</v>
      </c>
      <c r="I33" s="37">
        <f t="shared" si="14"/>
        <v>0</v>
      </c>
      <c r="J33" s="37">
        <f t="shared" si="14"/>
        <v>0</v>
      </c>
      <c r="K33" s="37">
        <f t="shared" si="14"/>
        <v>0</v>
      </c>
      <c r="L33" s="37">
        <f t="shared" si="14"/>
        <v>0</v>
      </c>
      <c r="M33" s="37">
        <f t="shared" si="14"/>
        <v>0</v>
      </c>
      <c r="N33" s="37">
        <f t="shared" si="14"/>
        <v>0</v>
      </c>
      <c r="O33" s="37">
        <f t="shared" si="14"/>
        <v>0</v>
      </c>
      <c r="P33" s="37">
        <f t="shared" si="14"/>
        <v>0</v>
      </c>
      <c r="Q33" s="37">
        <f t="shared" si="14"/>
        <v>0</v>
      </c>
      <c r="R33" s="37">
        <f t="shared" si="14"/>
        <v>0</v>
      </c>
      <c r="S33" s="37">
        <f t="shared" si="14"/>
        <v>0</v>
      </c>
      <c r="T33" s="37">
        <f t="shared" si="14"/>
        <v>0</v>
      </c>
      <c r="U33" s="37">
        <f t="shared" si="14"/>
        <v>0</v>
      </c>
      <c r="V33" s="37">
        <f t="shared" si="14"/>
        <v>0</v>
      </c>
      <c r="W33" s="37">
        <f t="shared" si="14"/>
        <v>0</v>
      </c>
      <c r="X33" s="37">
        <f t="shared" si="14"/>
        <v>0</v>
      </c>
      <c r="Y33" s="37">
        <f t="shared" si="14"/>
        <v>0</v>
      </c>
      <c r="Z33" s="37">
        <f t="shared" si="14"/>
        <v>0</v>
      </c>
      <c r="AA33" s="37">
        <f t="shared" si="14"/>
        <v>0</v>
      </c>
      <c r="AB33" s="37">
        <f t="shared" si="14"/>
        <v>0</v>
      </c>
      <c r="AC33" s="37">
        <f t="shared" si="14"/>
        <v>0</v>
      </c>
      <c r="AD33" s="37">
        <f t="shared" si="14"/>
        <v>0</v>
      </c>
      <c r="AE33" s="37">
        <f t="shared" si="14"/>
        <v>0</v>
      </c>
      <c r="AF33" s="37">
        <f t="shared" si="14"/>
        <v>0</v>
      </c>
      <c r="AG33" s="37">
        <f t="shared" si="14"/>
        <v>0</v>
      </c>
      <c r="AH33" s="37">
        <f t="shared" si="14"/>
        <v>0</v>
      </c>
      <c r="AI33" s="37">
        <f t="shared" si="14"/>
        <v>0</v>
      </c>
      <c r="AJ33" s="37">
        <f t="shared" si="14"/>
        <v>0</v>
      </c>
      <c r="AK33" s="37">
        <f t="shared" ref="AK33:BD33" si="15">MAX(0,AK31-AK30)</f>
        <v>0</v>
      </c>
      <c r="AL33" s="37">
        <f t="shared" si="15"/>
        <v>0</v>
      </c>
      <c r="AM33" s="37">
        <f t="shared" si="15"/>
        <v>0</v>
      </c>
      <c r="AN33" s="37">
        <f t="shared" si="15"/>
        <v>0</v>
      </c>
      <c r="AO33" s="37">
        <f t="shared" si="15"/>
        <v>0</v>
      </c>
      <c r="AP33" s="37">
        <f t="shared" si="15"/>
        <v>0</v>
      </c>
      <c r="AQ33" s="37">
        <f t="shared" si="15"/>
        <v>0</v>
      </c>
      <c r="AR33" s="37">
        <f t="shared" si="15"/>
        <v>0</v>
      </c>
      <c r="AS33" s="37">
        <f t="shared" si="15"/>
        <v>0</v>
      </c>
      <c r="AT33" s="37">
        <f t="shared" si="15"/>
        <v>0</v>
      </c>
      <c r="AU33" s="37">
        <f t="shared" si="15"/>
        <v>0</v>
      </c>
      <c r="AV33" s="37">
        <f t="shared" si="15"/>
        <v>0</v>
      </c>
      <c r="AW33" s="37">
        <f t="shared" si="15"/>
        <v>0</v>
      </c>
      <c r="AX33" s="37">
        <f t="shared" si="15"/>
        <v>0</v>
      </c>
      <c r="AY33" s="37">
        <f t="shared" si="15"/>
        <v>0</v>
      </c>
      <c r="AZ33" s="37">
        <f t="shared" si="15"/>
        <v>0</v>
      </c>
      <c r="BA33" s="37">
        <f t="shared" si="15"/>
        <v>0</v>
      </c>
      <c r="BB33" s="37">
        <f t="shared" si="15"/>
        <v>0</v>
      </c>
      <c r="BC33" s="37">
        <f t="shared" si="15"/>
        <v>0</v>
      </c>
      <c r="BD33" s="37">
        <f t="shared" si="15"/>
        <v>0</v>
      </c>
    </row>
    <row r="34" spans="1:56" ht="15.75" customHeight="1" x14ac:dyDescent="0.2">
      <c r="A34" s="29"/>
      <c r="B34" s="30" t="s">
        <v>132</v>
      </c>
      <c r="C34" s="29"/>
      <c r="D34" s="29"/>
      <c r="E34" s="37">
        <f>E32*Inputs!$C$23</f>
        <v>0</v>
      </c>
      <c r="F34" s="37">
        <f>F32*Inputs!$C$23</f>
        <v>0</v>
      </c>
      <c r="G34" s="37">
        <f>G32*Inputs!$C$23</f>
        <v>0.15177150177290114</v>
      </c>
      <c r="H34" s="37">
        <f>H32*Inputs!$C$23</f>
        <v>0.10218972550173189</v>
      </c>
      <c r="I34" s="37">
        <f>I32*Inputs!$C$23</f>
        <v>0.15540107309472692</v>
      </c>
      <c r="J34" s="37">
        <f>J32*Inputs!$C$23</f>
        <v>0.10622531325209922</v>
      </c>
      <c r="K34" s="37">
        <f>K32*Inputs!$C$23</f>
        <v>0.15928146670856078</v>
      </c>
      <c r="L34" s="37">
        <f>L32*Inputs!$C$23</f>
        <v>0.11051651105174851</v>
      </c>
      <c r="M34" s="37">
        <f>M32*Inputs!$C$23</f>
        <v>0.16342420610546202</v>
      </c>
      <c r="N34" s="37">
        <f>N32*Inputs!$C$23</f>
        <v>0.11507513051698071</v>
      </c>
      <c r="O34" s="37">
        <f>O32*Inputs!$C$23</f>
        <v>0.16784136829861132</v>
      </c>
      <c r="P34" s="37">
        <f>P32*Inputs!$C$23</f>
        <v>0.11991355003207518</v>
      </c>
      <c r="Q34" s="37">
        <f>Q32*Inputs!$C$23</f>
        <v>0.17254561036947066</v>
      </c>
      <c r="R34" s="37">
        <f>R32*Inputs!$C$23</f>
        <v>0.12504474192886306</v>
      </c>
      <c r="S34" s="37">
        <f>S32*Inputs!$C$23</f>
        <v>0.17755019728895388</v>
      </c>
      <c r="T34" s="37">
        <f>T32*Inputs!$C$23</f>
        <v>0.1304823009716426</v>
      </c>
      <c r="U34" s="37">
        <f>U32*Inputs!$C$23</f>
        <v>0.18286903107486369</v>
      </c>
      <c r="V34" s="37">
        <f>V32*Inputs!$C$23</f>
        <v>0.13624047421015459</v>
      </c>
      <c r="W34" s="37">
        <f>W32*Inputs!$C$23</f>
        <v>0.18851668134980493</v>
      </c>
      <c r="X34" s="37">
        <f>X32*Inputs!$C$23</f>
        <v>0.14233419226635302</v>
      </c>
      <c r="Y34" s="37">
        <f>Y32*Inputs!$C$23</f>
        <v>0.19450841736686586</v>
      </c>
      <c r="Z34" s="37">
        <f>Z32*Inputs!$C$23</f>
        <v>0.14877910212385786</v>
      </c>
      <c r="AA34" s="37">
        <f>AA32*Inputs!$C$23</f>
        <v>0.20086024157359528</v>
      </c>
      <c r="AB34" s="37">
        <f>AB32*Inputs!$C$23</f>
        <v>0.15559160149229792</v>
      </c>
      <c r="AC34" s="37">
        <f>AC32*Inputs!$C$23</f>
        <v>0.2075889247881878</v>
      </c>
      <c r="AD34" s="37">
        <f>AD32*Inputs!$C$23</f>
        <v>0.16278887482221197</v>
      </c>
      <c r="AE34" s="37">
        <f>AE32*Inputs!$C$23</f>
        <v>0.21471204306534702</v>
      </c>
      <c r="AF34" s="37">
        <f>AF32*Inputs!$C$23</f>
        <v>0.17038893104981936</v>
      </c>
      <c r="AG34" s="37">
        <f>AG32*Inputs!$C$23</f>
        <v>0.22224801633301855</v>
      </c>
      <c r="AH34" s="37">
        <f>AH32*Inputs!$C$23</f>
        <v>0.17841064315477931</v>
      </c>
      <c r="AI34" s="37">
        <f>AI32*Inputs!$C$23</f>
        <v>0.23021614888508476</v>
      </c>
      <c r="AJ34" s="37">
        <f>AJ32*Inputs!$C$23</f>
        <v>0.18687378961805493</v>
      </c>
      <c r="AK34" s="37">
        <f>AK32*Inputs!$C$23</f>
        <v>0.2386366718192002</v>
      </c>
      <c r="AL34" s="37">
        <f>AL32*Inputs!$C$23</f>
        <v>0.19579909787118147</v>
      </c>
      <c r="AM34" s="37">
        <f>AM32*Inputs!$C$23</f>
        <v>0.24167377961371783</v>
      </c>
      <c r="AN34" s="37">
        <f>AN32*Inputs!$C$23</f>
        <v>0.19132944193986706</v>
      </c>
      <c r="AO34" s="37">
        <f>AO32*Inputs!$C$23</f>
        <v>0.23560091482653267</v>
      </c>
      <c r="AP34" s="37">
        <f>AP32*Inputs!$C$23</f>
        <v>0.18550829884105113</v>
      </c>
      <c r="AQ34" s="37">
        <f>AQ32*Inputs!$C$23</f>
        <v>0.22948840229232403</v>
      </c>
      <c r="AR34" s="37">
        <f>AR32*Inputs!$C$23</f>
        <v>0.17964624938676987</v>
      </c>
      <c r="AS34" s="37">
        <f>AS32*Inputs!$C$23</f>
        <v>0.2233350400084072</v>
      </c>
      <c r="AT34" s="37">
        <f>AT32*Inputs!$C$23</f>
        <v>0.17374209786738082</v>
      </c>
      <c r="AU34" s="37">
        <f>AU32*Inputs!$C$23</f>
        <v>0.29503664235298777</v>
      </c>
      <c r="AV34" s="37">
        <f>AV32*Inputs!$C$23</f>
        <v>0.2606825441420047</v>
      </c>
      <c r="AW34" s="37">
        <f>AW32*Inputs!$C$23</f>
        <v>0.28977229328147802</v>
      </c>
      <c r="AX34" s="37">
        <f>AX32*Inputs!$C$23</f>
        <v>0.25558996556154989</v>
      </c>
      <c r="AY34" s="37">
        <f>AY32*Inputs!$C$23</f>
        <v>0.28445848263813095</v>
      </c>
      <c r="AZ34" s="37">
        <f>AZ32*Inputs!$C$23</f>
        <v>0.25044706655680243</v>
      </c>
      <c r="BA34" s="37">
        <f>BA32*Inputs!$C$23</f>
        <v>0.27909394206446181</v>
      </c>
      <c r="BB34" s="37">
        <f>BB32*Inputs!$C$23</f>
        <v>0.24525258306353995</v>
      </c>
      <c r="BC34" s="37">
        <f>BC32*Inputs!$C$23</f>
        <v>0.27367737923045149</v>
      </c>
      <c r="BD34" s="37">
        <f>BD32*Inputs!$C$23</f>
        <v>0.2400052270245342</v>
      </c>
    </row>
    <row r="35" spans="1:56" ht="15.75" customHeight="1" x14ac:dyDescent="0.2">
      <c r="A35" s="29"/>
      <c r="B35" s="45" t="s">
        <v>133</v>
      </c>
      <c r="C35" s="46"/>
      <c r="D35" s="46"/>
      <c r="E35" s="47">
        <f t="shared" ref="E35:AJ35" si="16">E32-E34</f>
        <v>0</v>
      </c>
      <c r="F35" s="47">
        <f t="shared" si="16"/>
        <v>0</v>
      </c>
      <c r="G35" s="47">
        <f t="shared" si="16"/>
        <v>0.45531450531870343</v>
      </c>
      <c r="H35" s="47">
        <f t="shared" si="16"/>
        <v>0.30656917650519566</v>
      </c>
      <c r="I35" s="47">
        <f t="shared" si="16"/>
        <v>0.46620321928418074</v>
      </c>
      <c r="J35" s="47">
        <f t="shared" si="16"/>
        <v>0.31867593975629765</v>
      </c>
      <c r="K35" s="47">
        <f t="shared" si="16"/>
        <v>0.4778444001256823</v>
      </c>
      <c r="L35" s="47">
        <f t="shared" si="16"/>
        <v>0.33154953315524549</v>
      </c>
      <c r="M35" s="47">
        <f t="shared" si="16"/>
        <v>0.49027261831638602</v>
      </c>
      <c r="N35" s="47">
        <f t="shared" si="16"/>
        <v>0.34522539155094212</v>
      </c>
      <c r="O35" s="47">
        <f t="shared" si="16"/>
        <v>0.50352410489583399</v>
      </c>
      <c r="P35" s="47">
        <f t="shared" si="16"/>
        <v>0.35974065009622558</v>
      </c>
      <c r="Q35" s="47">
        <f t="shared" si="16"/>
        <v>0.51763683110841197</v>
      </c>
      <c r="R35" s="47">
        <f t="shared" si="16"/>
        <v>0.37513422578658917</v>
      </c>
      <c r="S35" s="47">
        <f t="shared" si="16"/>
        <v>0.53265059186686159</v>
      </c>
      <c r="T35" s="47">
        <f t="shared" si="16"/>
        <v>0.39144690291492779</v>
      </c>
      <c r="U35" s="47">
        <f t="shared" si="16"/>
        <v>0.548607093224591</v>
      </c>
      <c r="V35" s="47">
        <f t="shared" si="16"/>
        <v>0.40872142263046374</v>
      </c>
      <c r="W35" s="47">
        <f t="shared" si="16"/>
        <v>0.56555004404941478</v>
      </c>
      <c r="X35" s="47">
        <f t="shared" si="16"/>
        <v>0.42700257679905906</v>
      </c>
      <c r="Y35" s="47">
        <f t="shared" si="16"/>
        <v>0.58352525210059758</v>
      </c>
      <c r="Z35" s="47">
        <f t="shared" si="16"/>
        <v>0.44633730637157359</v>
      </c>
      <c r="AA35" s="47">
        <f t="shared" si="16"/>
        <v>0.60258072472078583</v>
      </c>
      <c r="AB35" s="47">
        <f t="shared" si="16"/>
        <v>0.46677480447689379</v>
      </c>
      <c r="AC35" s="47">
        <f t="shared" si="16"/>
        <v>0.6227667743645634</v>
      </c>
      <c r="AD35" s="47">
        <f t="shared" si="16"/>
        <v>0.48836662446663592</v>
      </c>
      <c r="AE35" s="47">
        <f t="shared" si="16"/>
        <v>0.64413612919604102</v>
      </c>
      <c r="AF35" s="47">
        <f t="shared" si="16"/>
        <v>0.51116679314945812</v>
      </c>
      <c r="AG35" s="47">
        <f t="shared" si="16"/>
        <v>0.66674404899905571</v>
      </c>
      <c r="AH35" s="47">
        <f t="shared" si="16"/>
        <v>0.53523192946433795</v>
      </c>
      <c r="AI35" s="47">
        <f t="shared" si="16"/>
        <v>0.69064844665525427</v>
      </c>
      <c r="AJ35" s="47">
        <f t="shared" si="16"/>
        <v>0.5606213688541648</v>
      </c>
      <c r="AK35" s="47">
        <f t="shared" ref="AK35:BD35" si="17">AK32-AK34</f>
        <v>0.71591001545760058</v>
      </c>
      <c r="AL35" s="47">
        <f t="shared" si="17"/>
        <v>0.58739729361354442</v>
      </c>
      <c r="AM35" s="47">
        <f t="shared" si="17"/>
        <v>0.7250213388411535</v>
      </c>
      <c r="AN35" s="47">
        <f t="shared" si="17"/>
        <v>0.57398832581960124</v>
      </c>
      <c r="AO35" s="47">
        <f t="shared" si="17"/>
        <v>0.70680274447959801</v>
      </c>
      <c r="AP35" s="47">
        <f t="shared" si="17"/>
        <v>0.5565248965231534</v>
      </c>
      <c r="AQ35" s="47">
        <f t="shared" si="17"/>
        <v>0.6884652068769721</v>
      </c>
      <c r="AR35" s="47">
        <f t="shared" si="17"/>
        <v>0.53893874816030962</v>
      </c>
      <c r="AS35" s="47">
        <f t="shared" si="17"/>
        <v>0.67000512002522161</v>
      </c>
      <c r="AT35" s="47">
        <f t="shared" si="17"/>
        <v>0.52122629360214245</v>
      </c>
      <c r="AU35" s="47">
        <f t="shared" si="17"/>
        <v>0.8851099270589633</v>
      </c>
      <c r="AV35" s="47">
        <f t="shared" si="17"/>
        <v>0.78204763242601416</v>
      </c>
      <c r="AW35" s="47">
        <f t="shared" si="17"/>
        <v>0.86931687984443407</v>
      </c>
      <c r="AX35" s="47">
        <f t="shared" si="17"/>
        <v>0.76676989668464968</v>
      </c>
      <c r="AY35" s="47">
        <f t="shared" si="17"/>
        <v>0.8533754479143929</v>
      </c>
      <c r="AZ35" s="47">
        <f t="shared" si="17"/>
        <v>0.75134119967040736</v>
      </c>
      <c r="BA35" s="47">
        <f t="shared" si="17"/>
        <v>0.83728182619338543</v>
      </c>
      <c r="BB35" s="47">
        <f t="shared" si="17"/>
        <v>0.73575774919061987</v>
      </c>
      <c r="BC35" s="47">
        <f t="shared" si="17"/>
        <v>0.82103213769135452</v>
      </c>
      <c r="BD35" s="47">
        <f t="shared" si="17"/>
        <v>0.72001568107360259</v>
      </c>
    </row>
    <row r="36" spans="1:56" ht="15.75" customHeight="1" x14ac:dyDescent="0.2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</row>
    <row r="37" spans="1:56" ht="15.75" customHeight="1" x14ac:dyDescent="0.2">
      <c r="A37" s="29"/>
      <c r="B37" s="48" t="s">
        <v>134</v>
      </c>
      <c r="C37" s="49"/>
      <c r="D37" s="49"/>
      <c r="E37" s="50">
        <f t="shared" ref="E37:AJ37" si="18">E23-E34</f>
        <v>0</v>
      </c>
      <c r="F37" s="50">
        <f t="shared" si="18"/>
        <v>0</v>
      </c>
      <c r="G37" s="50">
        <f t="shared" si="18"/>
        <v>2.2767408782270988</v>
      </c>
      <c r="H37" s="50">
        <f t="shared" si="18"/>
        <v>2.1081293944982686</v>
      </c>
      <c r="I37" s="50">
        <f t="shared" si="18"/>
        <v>2.2507687450052725</v>
      </c>
      <c r="J37" s="50">
        <f t="shared" si="18"/>
        <v>2.0828422111479008</v>
      </c>
      <c r="K37" s="50">
        <f t="shared" si="18"/>
        <v>2.2244535023009391</v>
      </c>
      <c r="L37" s="50">
        <f t="shared" si="18"/>
        <v>2.057201675726251</v>
      </c>
      <c r="M37" s="50">
        <f t="shared" si="18"/>
        <v>2.1977800080589898</v>
      </c>
      <c r="N37" s="50">
        <f t="shared" si="18"/>
        <v>2.0311923853271288</v>
      </c>
      <c r="O37" s="50">
        <f t="shared" si="18"/>
        <v>2.1707325031950195</v>
      </c>
      <c r="P37" s="50">
        <f t="shared" si="18"/>
        <v>2.0047983066328139</v>
      </c>
      <c r="Q37" s="50">
        <f t="shared" si="18"/>
        <v>2.1432945837346922</v>
      </c>
      <c r="R37" s="50">
        <f t="shared" si="18"/>
        <v>1.9780027474207018</v>
      </c>
      <c r="S37" s="50">
        <f t="shared" si="18"/>
        <v>2.1154491716520476</v>
      </c>
      <c r="T37" s="50">
        <f t="shared" si="18"/>
        <v>1.9507883267385351</v>
      </c>
      <c r="U37" s="50">
        <f t="shared" si="18"/>
        <v>2.0871784843449399</v>
      </c>
      <c r="V37" s="50">
        <f t="shared" si="18"/>
        <v>1.9231369436849786</v>
      </c>
      <c r="W37" s="50">
        <f t="shared" si="18"/>
        <v>2.0584640026828778</v>
      </c>
      <c r="X37" s="50">
        <f t="shared" si="18"/>
        <v>1.8950297447292819</v>
      </c>
      <c r="Y37" s="50">
        <f t="shared" si="18"/>
        <v>2.0292864375594299</v>
      </c>
      <c r="Z37" s="50">
        <f t="shared" si="18"/>
        <v>1.866447089500576</v>
      </c>
      <c r="AA37" s="50">
        <f t="shared" si="18"/>
        <v>1.9996256948781208</v>
      </c>
      <c r="AB37" s="50">
        <f t="shared" si="18"/>
        <v>1.8373685149740664</v>
      </c>
      <c r="AC37" s="50">
        <f t="shared" si="18"/>
        <v>1.9694608388973238</v>
      </c>
      <c r="AD37" s="50">
        <f t="shared" si="18"/>
        <v>1.8077726979778743</v>
      </c>
      <c r="AE37" s="50">
        <f t="shared" si="18"/>
        <v>1.9387700538561117</v>
      </c>
      <c r="AF37" s="50">
        <f t="shared" si="18"/>
        <v>1.777637415940641</v>
      </c>
      <c r="AG37" s="50">
        <f t="shared" si="18"/>
        <v>1.9075306037992945</v>
      </c>
      <c r="AH37" s="50">
        <f t="shared" si="18"/>
        <v>1.7469395057961903</v>
      </c>
      <c r="AI37" s="50">
        <f t="shared" si="18"/>
        <v>1.8757187905159394</v>
      </c>
      <c r="AJ37" s="50">
        <f t="shared" si="18"/>
        <v>1.7156548209575315</v>
      </c>
      <c r="AK37" s="50">
        <f t="shared" ref="AK37:BD37" si="19">AK23-AK34</f>
        <v>1.843309909501577</v>
      </c>
      <c r="AL37" s="50">
        <f t="shared" si="19"/>
        <v>1.6837581862682853</v>
      </c>
      <c r="AM37" s="50">
        <f t="shared" si="19"/>
        <v>1.8161352117495488</v>
      </c>
      <c r="AN37" s="50">
        <f t="shared" si="19"/>
        <v>1.6651021987279966</v>
      </c>
      <c r="AO37" s="50">
        <f t="shared" si="19"/>
        <v>1.7979166173879935</v>
      </c>
      <c r="AP37" s="50">
        <f t="shared" si="19"/>
        <v>1.6476387694315489</v>
      </c>
      <c r="AQ37" s="50">
        <f t="shared" si="19"/>
        <v>1.7795790797853674</v>
      </c>
      <c r="AR37" s="50">
        <f t="shared" si="19"/>
        <v>1.630052621068705</v>
      </c>
      <c r="AS37" s="50">
        <f t="shared" si="19"/>
        <v>1.7611189929336168</v>
      </c>
      <c r="AT37" s="50">
        <f t="shared" si="19"/>
        <v>1.6123401665105379</v>
      </c>
      <c r="AU37" s="50">
        <f t="shared" si="19"/>
        <v>0.8851099270589633</v>
      </c>
      <c r="AV37" s="50">
        <f t="shared" si="19"/>
        <v>0.78204763242601416</v>
      </c>
      <c r="AW37" s="50">
        <f t="shared" si="19"/>
        <v>0.86931687984443407</v>
      </c>
      <c r="AX37" s="50">
        <f t="shared" si="19"/>
        <v>0.76676989668464968</v>
      </c>
      <c r="AY37" s="50">
        <f t="shared" si="19"/>
        <v>0.8533754479143929</v>
      </c>
      <c r="AZ37" s="50">
        <f t="shared" si="19"/>
        <v>0.75134119967040736</v>
      </c>
      <c r="BA37" s="50">
        <f t="shared" si="19"/>
        <v>0.83728182619338543</v>
      </c>
      <c r="BB37" s="50">
        <f t="shared" si="19"/>
        <v>0.73575774919061987</v>
      </c>
      <c r="BC37" s="50">
        <f t="shared" si="19"/>
        <v>0.82103213769135452</v>
      </c>
      <c r="BD37" s="50">
        <f t="shared" si="19"/>
        <v>0.72001568107360259</v>
      </c>
    </row>
    <row r="38" spans="1:56" ht="16.5" customHeight="1" x14ac:dyDescent="0.2"/>
  </sheetData>
  <pageMargins left="0.7" right="0.7" top="0.75" bottom="0.75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BD46"/>
  <sheetViews>
    <sheetView showGridLines="0" zoomScale="120" zoomScaleNormal="12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2" sqref="C2"/>
    </sheetView>
  </sheetViews>
  <sheetFormatPr baseColWidth="10" defaultColWidth="10.5" defaultRowHeight="16" x14ac:dyDescent="0.2"/>
  <cols>
    <col min="1" max="1" width="3" customWidth="1"/>
    <col min="2" max="2" width="40" customWidth="1"/>
    <col min="3" max="3" width="12" customWidth="1"/>
    <col min="4" max="4" width="11" customWidth="1"/>
    <col min="5" max="56" width="9.5" customWidth="1"/>
  </cols>
  <sheetData>
    <row r="2" spans="1:56" ht="17.25" customHeight="1" x14ac:dyDescent="0.25">
      <c r="B2" s="16" t="s">
        <v>135</v>
      </c>
    </row>
    <row r="5" spans="1:56" ht="15.75" customHeight="1" x14ac:dyDescent="0.2">
      <c r="A5" s="26"/>
      <c r="B5" s="27" t="s">
        <v>77</v>
      </c>
      <c r="C5" s="28"/>
      <c r="D5" s="28"/>
      <c r="E5" s="28">
        <v>1</v>
      </c>
      <c r="F5" s="28">
        <f t="shared" ref="F5:AK5" si="0">E5+1</f>
        <v>2</v>
      </c>
      <c r="G5" s="28">
        <f t="shared" si="0"/>
        <v>3</v>
      </c>
      <c r="H5" s="28">
        <f t="shared" si="0"/>
        <v>4</v>
      </c>
      <c r="I5" s="28">
        <f t="shared" si="0"/>
        <v>5</v>
      </c>
      <c r="J5" s="28">
        <f t="shared" si="0"/>
        <v>6</v>
      </c>
      <c r="K5" s="28">
        <f t="shared" si="0"/>
        <v>7</v>
      </c>
      <c r="L5" s="28">
        <f t="shared" si="0"/>
        <v>8</v>
      </c>
      <c r="M5" s="28">
        <f t="shared" si="0"/>
        <v>9</v>
      </c>
      <c r="N5" s="28">
        <f t="shared" si="0"/>
        <v>10</v>
      </c>
      <c r="O5" s="28">
        <f t="shared" si="0"/>
        <v>11</v>
      </c>
      <c r="P5" s="28">
        <f t="shared" si="0"/>
        <v>12</v>
      </c>
      <c r="Q5" s="28">
        <f t="shared" si="0"/>
        <v>13</v>
      </c>
      <c r="R5" s="28">
        <f t="shared" si="0"/>
        <v>14</v>
      </c>
      <c r="S5" s="28">
        <f t="shared" si="0"/>
        <v>15</v>
      </c>
      <c r="T5" s="28">
        <f t="shared" si="0"/>
        <v>16</v>
      </c>
      <c r="U5" s="28">
        <f t="shared" si="0"/>
        <v>17</v>
      </c>
      <c r="V5" s="28">
        <f t="shared" si="0"/>
        <v>18</v>
      </c>
      <c r="W5" s="28">
        <f t="shared" si="0"/>
        <v>19</v>
      </c>
      <c r="X5" s="28">
        <f t="shared" si="0"/>
        <v>20</v>
      </c>
      <c r="Y5" s="28">
        <f t="shared" si="0"/>
        <v>21</v>
      </c>
      <c r="Z5" s="28">
        <f t="shared" si="0"/>
        <v>22</v>
      </c>
      <c r="AA5" s="28">
        <f t="shared" si="0"/>
        <v>23</v>
      </c>
      <c r="AB5" s="28">
        <f t="shared" si="0"/>
        <v>24</v>
      </c>
      <c r="AC5" s="28">
        <f t="shared" si="0"/>
        <v>25</v>
      </c>
      <c r="AD5" s="28">
        <f t="shared" si="0"/>
        <v>26</v>
      </c>
      <c r="AE5" s="28">
        <f t="shared" si="0"/>
        <v>27</v>
      </c>
      <c r="AF5" s="28">
        <f t="shared" si="0"/>
        <v>28</v>
      </c>
      <c r="AG5" s="28">
        <f t="shared" si="0"/>
        <v>29</v>
      </c>
      <c r="AH5" s="28">
        <f t="shared" si="0"/>
        <v>30</v>
      </c>
      <c r="AI5" s="28">
        <f t="shared" si="0"/>
        <v>31</v>
      </c>
      <c r="AJ5" s="28">
        <f t="shared" si="0"/>
        <v>32</v>
      </c>
      <c r="AK5" s="28">
        <f t="shared" si="0"/>
        <v>33</v>
      </c>
      <c r="AL5" s="28">
        <f t="shared" ref="AL5:BD5" si="1">AK5+1</f>
        <v>34</v>
      </c>
      <c r="AM5" s="28">
        <f t="shared" si="1"/>
        <v>35</v>
      </c>
      <c r="AN5" s="28">
        <f t="shared" si="1"/>
        <v>36</v>
      </c>
      <c r="AO5" s="28">
        <f t="shared" si="1"/>
        <v>37</v>
      </c>
      <c r="AP5" s="28">
        <f t="shared" si="1"/>
        <v>38</v>
      </c>
      <c r="AQ5" s="28">
        <f t="shared" si="1"/>
        <v>39</v>
      </c>
      <c r="AR5" s="28">
        <f t="shared" si="1"/>
        <v>40</v>
      </c>
      <c r="AS5" s="28">
        <f t="shared" si="1"/>
        <v>41</v>
      </c>
      <c r="AT5" s="28">
        <f t="shared" si="1"/>
        <v>42</v>
      </c>
      <c r="AU5" s="28">
        <f t="shared" si="1"/>
        <v>43</v>
      </c>
      <c r="AV5" s="28">
        <f t="shared" si="1"/>
        <v>44</v>
      </c>
      <c r="AW5" s="28">
        <f t="shared" si="1"/>
        <v>45</v>
      </c>
      <c r="AX5" s="28">
        <f t="shared" si="1"/>
        <v>46</v>
      </c>
      <c r="AY5" s="28">
        <f t="shared" si="1"/>
        <v>47</v>
      </c>
      <c r="AZ5" s="28">
        <f t="shared" si="1"/>
        <v>48</v>
      </c>
      <c r="BA5" s="28">
        <f t="shared" si="1"/>
        <v>49</v>
      </c>
      <c r="BB5" s="28">
        <f t="shared" si="1"/>
        <v>50</v>
      </c>
      <c r="BC5" s="28">
        <f t="shared" si="1"/>
        <v>51</v>
      </c>
      <c r="BD5" s="28">
        <f t="shared" si="1"/>
        <v>52</v>
      </c>
    </row>
    <row r="6" spans="1:56" ht="15.75" customHeight="1" x14ac:dyDescent="0.2">
      <c r="A6" s="29"/>
      <c r="B6" s="30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</row>
    <row r="7" spans="1:56" ht="15.75" customHeight="1" x14ac:dyDescent="0.2">
      <c r="A7" s="29"/>
      <c r="B7" s="30" t="s">
        <v>136</v>
      </c>
      <c r="C7" s="44">
        <f>Inputs!C21/2</f>
        <v>2.375E-2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</row>
    <row r="8" spans="1:56" ht="15.75" customHeight="1" x14ac:dyDescent="0.2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</row>
    <row r="9" spans="1:56" ht="15.75" customHeight="1" x14ac:dyDescent="0.2">
      <c r="A9" s="29"/>
      <c r="B9" s="27" t="s">
        <v>137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</row>
    <row r="10" spans="1:56" ht="15.75" customHeight="1" x14ac:dyDescent="0.2">
      <c r="A10" s="29"/>
      <c r="B10" s="30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</row>
    <row r="11" spans="1:56" ht="15.75" customHeight="1" x14ac:dyDescent="0.2">
      <c r="A11" s="51" t="s">
        <v>138</v>
      </c>
      <c r="B11" s="52" t="s">
        <v>139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</row>
    <row r="12" spans="1:56" ht="15.75" customHeight="1" x14ac:dyDescent="0.2">
      <c r="A12" s="29"/>
      <c r="B12" s="30" t="s">
        <v>140</v>
      </c>
      <c r="C12" s="29"/>
      <c r="D12" s="29"/>
      <c r="E12" s="29">
        <f>IF(Timing!E11=1,IF(Timing!E15=1,Inputs!$C$19,Inputs!$C$20),0)</f>
        <v>0</v>
      </c>
      <c r="F12" s="29">
        <f>IF(Timing!F11=1,IF(Timing!F15=1,Inputs!$C$19,Inputs!$C$20),0)</f>
        <v>0</v>
      </c>
      <c r="G12" s="53">
        <f>IF(Timing!G11=1,IF(Timing!G15=1,Inputs!$C$19,Inputs!$C$20),0)</f>
        <v>1.55</v>
      </c>
      <c r="H12" s="53">
        <f>IF(Timing!H11=1,IF(Timing!H15=1,Inputs!$C$19,Inputs!$C$20),0)</f>
        <v>1.55</v>
      </c>
      <c r="I12" s="53">
        <f>IF(Timing!I11=1,IF(Timing!I15=1,Inputs!$C$19,Inputs!$C$20),0)</f>
        <v>1.55</v>
      </c>
      <c r="J12" s="53">
        <f>IF(Timing!J11=1,IF(Timing!J15=1,Inputs!$C$19,Inputs!$C$20),0)</f>
        <v>1.55</v>
      </c>
      <c r="K12" s="53">
        <f>IF(Timing!K11=1,IF(Timing!K15=1,Inputs!$C$19,Inputs!$C$20),0)</f>
        <v>1.55</v>
      </c>
      <c r="L12" s="53">
        <f>IF(Timing!L11=1,IF(Timing!L15=1,Inputs!$C$19,Inputs!$C$20),0)</f>
        <v>1.55</v>
      </c>
      <c r="M12" s="53">
        <f>IF(Timing!M11=1,IF(Timing!M15=1,Inputs!$C$19,Inputs!$C$20),0)</f>
        <v>1.55</v>
      </c>
      <c r="N12" s="53">
        <f>IF(Timing!N11=1,IF(Timing!N15=1,Inputs!$C$19,Inputs!$C$20),0)</f>
        <v>1.55</v>
      </c>
      <c r="O12" s="53">
        <f>IF(Timing!O11=1,IF(Timing!O15=1,Inputs!$C$19,Inputs!$C$20),0)</f>
        <v>1.55</v>
      </c>
      <c r="P12" s="53">
        <f>IF(Timing!P11=1,IF(Timing!P15=1,Inputs!$C$19,Inputs!$C$20),0)</f>
        <v>1.55</v>
      </c>
      <c r="Q12" s="53">
        <f>IF(Timing!Q11=1,IF(Timing!Q15=1,Inputs!$C$19,Inputs!$C$20),0)</f>
        <v>1.55</v>
      </c>
      <c r="R12" s="53">
        <f>IF(Timing!R11=1,IF(Timing!R15=1,Inputs!$C$19,Inputs!$C$20),0)</f>
        <v>1.55</v>
      </c>
      <c r="S12" s="53">
        <f>IF(Timing!S11=1,IF(Timing!S15=1,Inputs!$C$19,Inputs!$C$20),0)</f>
        <v>1.55</v>
      </c>
      <c r="T12" s="53">
        <f>IF(Timing!T11=1,IF(Timing!T15=1,Inputs!$C$19,Inputs!$C$20),0)</f>
        <v>1.55</v>
      </c>
      <c r="U12" s="53">
        <f>IF(Timing!U11=1,IF(Timing!U15=1,Inputs!$C$19,Inputs!$C$20),0)</f>
        <v>1.55</v>
      </c>
      <c r="V12" s="53">
        <f>IF(Timing!V11=1,IF(Timing!V15=1,Inputs!$C$19,Inputs!$C$20),0)</f>
        <v>1.55</v>
      </c>
      <c r="W12" s="53">
        <f>IF(Timing!W11=1,IF(Timing!W15=1,Inputs!$C$19,Inputs!$C$20),0)</f>
        <v>1.55</v>
      </c>
      <c r="X12" s="53">
        <f>IF(Timing!X11=1,IF(Timing!X15=1,Inputs!$C$19,Inputs!$C$20),0)</f>
        <v>1.55</v>
      </c>
      <c r="Y12" s="53">
        <f>IF(Timing!Y11=1,IF(Timing!Y15=1,Inputs!$C$19,Inputs!$C$20),0)</f>
        <v>1.55</v>
      </c>
      <c r="Z12" s="53">
        <f>IF(Timing!Z11=1,IF(Timing!Z15=1,Inputs!$C$19,Inputs!$C$20),0)</f>
        <v>1.55</v>
      </c>
      <c r="AA12" s="53">
        <f>IF(Timing!AA11=1,IF(Timing!AA15=1,Inputs!$C$19,Inputs!$C$20),0)</f>
        <v>1.55</v>
      </c>
      <c r="AB12" s="53">
        <f>IF(Timing!AB11=1,IF(Timing!AB15=1,Inputs!$C$19,Inputs!$C$20),0)</f>
        <v>1.55</v>
      </c>
      <c r="AC12" s="53">
        <f>IF(Timing!AC11=1,IF(Timing!AC15=1,Inputs!$C$19,Inputs!$C$20),0)</f>
        <v>1.55</v>
      </c>
      <c r="AD12" s="53">
        <f>IF(Timing!AD11=1,IF(Timing!AD15=1,Inputs!$C$19,Inputs!$C$20),0)</f>
        <v>1.55</v>
      </c>
      <c r="AE12" s="53">
        <f>IF(Timing!AE11=1,IF(Timing!AE15=1,Inputs!$C$19,Inputs!$C$20),0)</f>
        <v>1.55</v>
      </c>
      <c r="AF12" s="53">
        <f>IF(Timing!AF11=1,IF(Timing!AF15=1,Inputs!$C$19,Inputs!$C$20),0)</f>
        <v>1.55</v>
      </c>
      <c r="AG12" s="53">
        <f>IF(Timing!AG11=1,IF(Timing!AG15=1,Inputs!$C$19,Inputs!$C$20),0)</f>
        <v>1.55</v>
      </c>
      <c r="AH12" s="53">
        <f>IF(Timing!AH11=1,IF(Timing!AH15=1,Inputs!$C$19,Inputs!$C$20),0)</f>
        <v>1.55</v>
      </c>
      <c r="AI12" s="53">
        <f>IF(Timing!AI11=1,IF(Timing!AI15=1,Inputs!$C$19,Inputs!$C$20),0)</f>
        <v>1.55</v>
      </c>
      <c r="AJ12" s="53">
        <f>IF(Timing!AJ11=1,IF(Timing!AJ15=1,Inputs!$C$19,Inputs!$C$20),0)</f>
        <v>1.55</v>
      </c>
      <c r="AK12" s="53">
        <f>IF(Timing!AK11=1,IF(Timing!AK15=1,Inputs!$C$19,Inputs!$C$20),0)</f>
        <v>1.55</v>
      </c>
      <c r="AL12" s="53">
        <f>IF(Timing!AL11=1,IF(Timing!AL15=1,Inputs!$C$19,Inputs!$C$20),0)</f>
        <v>1.55</v>
      </c>
      <c r="AM12" s="53">
        <f>IF(Timing!AM11=1,IF(Timing!AM15=1,Inputs!$C$19,Inputs!$C$20),0)</f>
        <v>1.55</v>
      </c>
      <c r="AN12" s="53">
        <f>IF(Timing!AN11=1,IF(Timing!AN15=1,Inputs!$C$19,Inputs!$C$20),0)</f>
        <v>1.55</v>
      </c>
      <c r="AO12" s="53">
        <f>IF(Timing!AO11=1,IF(Timing!AO15=1,Inputs!$C$19,Inputs!$C$20),0)</f>
        <v>1.55</v>
      </c>
      <c r="AP12" s="53">
        <f>IF(Timing!AP11=1,IF(Timing!AP15=1,Inputs!$C$19,Inputs!$C$20),0)</f>
        <v>1.55</v>
      </c>
      <c r="AQ12" s="53">
        <f>IF(Timing!AQ11=1,IF(Timing!AQ15=1,Inputs!$C$19,Inputs!$C$20),0)</f>
        <v>1.55</v>
      </c>
      <c r="AR12" s="53">
        <f>IF(Timing!AR11=1,IF(Timing!AR15=1,Inputs!$C$19,Inputs!$C$20),0)</f>
        <v>1.55</v>
      </c>
      <c r="AS12" s="53">
        <f>IF(Timing!AS11=1,IF(Timing!AS15=1,Inputs!$C$19,Inputs!$C$20),0)</f>
        <v>1.55</v>
      </c>
      <c r="AT12" s="53">
        <f>IF(Timing!AT11=1,IF(Timing!AT15=1,Inputs!$C$19,Inputs!$C$20),0)</f>
        <v>1.55</v>
      </c>
      <c r="AU12" s="53">
        <f>IF(Timing!AU11=1,IF(Timing!AU15=1,Inputs!$C$19,Inputs!$C$20),0)</f>
        <v>1.6</v>
      </c>
      <c r="AV12" s="53">
        <f>IF(Timing!AV11=1,IF(Timing!AV15=1,Inputs!$C$19,Inputs!$C$20),0)</f>
        <v>1.6</v>
      </c>
      <c r="AW12" s="53">
        <f>IF(Timing!AW11=1,IF(Timing!AW15=1,Inputs!$C$19,Inputs!$C$20),0)</f>
        <v>1.6</v>
      </c>
      <c r="AX12" s="53">
        <f>IF(Timing!AX11=1,IF(Timing!AX15=1,Inputs!$C$19,Inputs!$C$20),0)</f>
        <v>1.6</v>
      </c>
      <c r="AY12" s="53">
        <f>IF(Timing!AY11=1,IF(Timing!AY15=1,Inputs!$C$19,Inputs!$C$20),0)</f>
        <v>1.6</v>
      </c>
      <c r="AZ12" s="53">
        <f>IF(Timing!AZ11=1,IF(Timing!AZ15=1,Inputs!$C$19,Inputs!$C$20),0)</f>
        <v>1.6</v>
      </c>
      <c r="BA12" s="53">
        <f>IF(Timing!BA11=1,IF(Timing!BA15=1,Inputs!$C$19,Inputs!$C$20),0)</f>
        <v>1.6</v>
      </c>
      <c r="BB12" s="53">
        <f>IF(Timing!BB11=1,IF(Timing!BB15=1,Inputs!$C$19,Inputs!$C$20),0)</f>
        <v>1.6</v>
      </c>
      <c r="BC12" s="53">
        <f>IF(Timing!BC11=1,IF(Timing!BC15=1,Inputs!$C$19,Inputs!$C$20),0)</f>
        <v>1.6</v>
      </c>
      <c r="BD12" s="53">
        <f>IF(Timing!BD11=1,IF(Timing!BD15=1,Inputs!$C$19,Inputs!$C$20),0)</f>
        <v>1.6</v>
      </c>
    </row>
    <row r="13" spans="1:56" ht="15.75" customHeight="1" x14ac:dyDescent="0.2">
      <c r="A13" s="29"/>
      <c r="B13" s="30" t="s">
        <v>141</v>
      </c>
      <c r="C13" s="29"/>
      <c r="D13" s="29"/>
      <c r="E13" s="37">
        <f>IFERROR(Operations!E23/Debt!E12,0)</f>
        <v>0</v>
      </c>
      <c r="F13" s="37">
        <f>IFERROR(Operations!F23/Debt!F12,0)</f>
        <v>0</v>
      </c>
      <c r="G13" s="37">
        <f>IFERROR(Operations!G23/Debt!G12,0)</f>
        <v>1.5667821806451612</v>
      </c>
      <c r="H13" s="37">
        <f>IFERROR(Operations!H23/Debt!H12,0)</f>
        <v>1.4260123354838712</v>
      </c>
      <c r="I13" s="37">
        <f>IFERROR(Operations!I23/Debt!I12,0)</f>
        <v>1.5523676245806448</v>
      </c>
      <c r="J13" s="37">
        <f>IFERROR(Operations!J23/Debt!J12,0)</f>
        <v>1.4123016286451613</v>
      </c>
      <c r="K13" s="37">
        <f>IFERROR(Operations!K23/Debt!K12,0)</f>
        <v>1.5378935283932256</v>
      </c>
      <c r="L13" s="37">
        <f>IFERROR(Operations!L23/Debt!L12,0)</f>
        <v>1.3985278624374191</v>
      </c>
      <c r="M13" s="37">
        <f>IFERROR(Operations!M23/Debt!M12,0)</f>
        <v>1.5233575575254528</v>
      </c>
      <c r="N13" s="37">
        <f>IFERROR(Operations!N23/Debt!N12,0)</f>
        <v>1.3846887198994255</v>
      </c>
      <c r="O13" s="37">
        <f>IFERROR(Operations!O23/Debt!O12,0)</f>
        <v>1.5087573364475038</v>
      </c>
      <c r="P13" s="37">
        <f>IFERROR(Operations!P23/Debt!P12,0)</f>
        <v>1.3707818430096059</v>
      </c>
      <c r="Q13" s="37">
        <f>IFERROR(Operations!Q23/Debt!Q12,0)</f>
        <v>1.4940904478091372</v>
      </c>
      <c r="R13" s="37">
        <f>IFERROR(Operations!R23/Debt!R12,0)</f>
        <v>1.3568048318384289</v>
      </c>
      <c r="S13" s="37">
        <f>IFERROR(Operations!S23/Debt!S12,0)</f>
        <v>1.4793544315748395</v>
      </c>
      <c r="T13" s="37">
        <f>IFERROR(Operations!T23/Debt!T12,0)</f>
        <v>1.3427552436839856</v>
      </c>
      <c r="U13" s="37">
        <f>IFERROR(Operations!U23/Debt!U12,0)</f>
        <v>1.4645467841418087</v>
      </c>
      <c r="V13" s="37">
        <f>IFERROR(Operations!V23/Debt!V12,0)</f>
        <v>1.3286305921904085</v>
      </c>
      <c r="W13" s="37">
        <f>IFERROR(Operations!W23/Debt!W12,0)</f>
        <v>1.4496649574404403</v>
      </c>
      <c r="X13" s="37">
        <f>IFERROR(Operations!X23/Debt!X12,0)</f>
        <v>1.3144283464487967</v>
      </c>
      <c r="Y13" s="37">
        <f>IFERROR(Operations!Y23/Debt!Y12,0)</f>
        <v>1.434706358016965</v>
      </c>
      <c r="Z13" s="37">
        <f>IFERROR(Operations!Z23/Debt!Z12,0)</f>
        <v>1.3001459300802798</v>
      </c>
      <c r="AA13" s="37">
        <f>IFERROR(Operations!AA23/Debt!AA12,0)</f>
        <v>1.4196683460978814</v>
      </c>
      <c r="AB13" s="37">
        <f>IFERROR(Operations!AB23/Debt!AB12,0)</f>
        <v>1.2857807203008802</v>
      </c>
      <c r="AC13" s="37">
        <f>IFERROR(Operations!AC23/Debt!AC12,0)</f>
        <v>1.4045482346358138</v>
      </c>
      <c r="AD13" s="37">
        <f>IFERROR(Operations!AD23/Debt!AD12,0)</f>
        <v>1.2713300469677975</v>
      </c>
      <c r="AE13" s="37">
        <f>IFERROR(Operations!AE23/Debt!AE12,0)</f>
        <v>1.389343288336425</v>
      </c>
      <c r="AF13" s="37">
        <f>IFERROR(Operations!AF23/Debt!AF12,0)</f>
        <v>1.2567911916067487</v>
      </c>
      <c r="AG13" s="37">
        <f>IFERROR(Operations!AG23/Debt!AG12,0)</f>
        <v>1.3740507226660084</v>
      </c>
      <c r="AH13" s="37">
        <f>IFERROR(Operations!AH23/Debt!AH12,0)</f>
        <v>1.2421613864199803</v>
      </c>
      <c r="AI13" s="37">
        <f>IFERROR(Operations!AI23/Debt!AI12,0)</f>
        <v>1.3586677028393703</v>
      </c>
      <c r="AJ13" s="37">
        <f>IFERROR(Operations!AJ23/Debt!AJ12,0)</f>
        <v>1.227437813274572</v>
      </c>
      <c r="AK13" s="37">
        <f>IFERROR(Operations!AK23/Debt!AK12,0)</f>
        <v>1.3431913427875981</v>
      </c>
      <c r="AL13" s="37">
        <f>IFERROR(Operations!AL23/Debt!AL12,0)</f>
        <v>1.2126176026706237</v>
      </c>
      <c r="AM13" s="37">
        <f>IFERROR(Operations!AM23/Debt!AM12,0)</f>
        <v>1.3276187041053333</v>
      </c>
      <c r="AN13" s="37">
        <f>IFERROR(Operations!AN23/Debt!AN12,0)</f>
        <v>1.1976978326889443</v>
      </c>
      <c r="AO13" s="37">
        <f>IFERROR(Operations!AO23/Debt!AO12,0)</f>
        <v>1.3119467949771135</v>
      </c>
      <c r="AP13" s="37">
        <f>IFERROR(Operations!AP23/Debt!AP12,0)</f>
        <v>1.1826755279178063</v>
      </c>
      <c r="AQ13" s="37">
        <f>IFERROR(Operations!AQ23/Debt!AQ12,0)</f>
        <v>1.2961725690823815</v>
      </c>
      <c r="AR13" s="37">
        <f>IFERROR(Operations!AR23/Debt!AR12,0)</f>
        <v>1.1675476583583708</v>
      </c>
      <c r="AS13" s="37">
        <f>IFERROR(Operations!AS23/Debt!AS12,0)</f>
        <v>1.2802929244787253</v>
      </c>
      <c r="AT13" s="37">
        <f>IFERROR(Operations!AT23/Debt!AT12,0)</f>
        <v>1.1523111383083346</v>
      </c>
      <c r="AU13" s="37">
        <f>IFERROR(Operations!AU23/Debt!AU12,0)</f>
        <v>0.73759160588246941</v>
      </c>
      <c r="AV13" s="37">
        <f>IFERROR(Operations!AV23/Debt!AV12,0)</f>
        <v>0.65170636035501173</v>
      </c>
      <c r="AW13" s="37">
        <f>IFERROR(Operations!AW23/Debt!AW12,0)</f>
        <v>0.724430733203695</v>
      </c>
      <c r="AX13" s="37">
        <f>IFERROR(Operations!AX23/Debt!AX12,0)</f>
        <v>0.63897491390387473</v>
      </c>
      <c r="AY13" s="37">
        <f>IFERROR(Operations!AY23/Debt!AY12,0)</f>
        <v>0.71114620659532735</v>
      </c>
      <c r="AZ13" s="37">
        <f>IFERROR(Operations!AZ23/Debt!AZ12,0)</f>
        <v>0.62611766639200606</v>
      </c>
      <c r="BA13" s="37">
        <f>IFERROR(Operations!BA23/Debt!BA12,0)</f>
        <v>0.69773485516115452</v>
      </c>
      <c r="BB13" s="37">
        <f>IFERROR(Operations!BB23/Debt!BB12,0)</f>
        <v>0.6131314576588498</v>
      </c>
      <c r="BC13" s="37">
        <f>IFERROR(Operations!BC23/Debt!BC12,0)</f>
        <v>0.6841934480761287</v>
      </c>
      <c r="BD13" s="37">
        <f>IFERROR(Operations!BD23/Debt!BD12,0)</f>
        <v>0.60001306756133543</v>
      </c>
    </row>
    <row r="14" spans="1:56" ht="15.75" customHeight="1" x14ac:dyDescent="0.2">
      <c r="A14" s="29"/>
      <c r="B14" s="30" t="s">
        <v>142</v>
      </c>
      <c r="C14" s="29"/>
      <c r="D14" s="29"/>
      <c r="E14" s="33">
        <f>1/(1+$C$7)^Timing!E12</f>
        <v>1</v>
      </c>
      <c r="F14" s="33">
        <f>1/(1+$C$7)^Timing!F12</f>
        <v>1</v>
      </c>
      <c r="G14" s="33">
        <f>1/(1+$C$7)^Timing!G12</f>
        <v>0.97680097680097688</v>
      </c>
      <c r="H14" s="33">
        <f>1/(1+$C$7)^Timing!H12</f>
        <v>0.95414014827934246</v>
      </c>
      <c r="I14" s="33">
        <f>1/(1+$C$7)^Timing!I12</f>
        <v>0.9320050288442906</v>
      </c>
      <c r="J14" s="33">
        <f>1/(1+$C$7)^Timing!J12</f>
        <v>0.91038342255852567</v>
      </c>
      <c r="K14" s="33">
        <f>1/(1+$C$7)^Timing!K12</f>
        <v>0.88926341641858431</v>
      </c>
      <c r="L14" s="33">
        <f>1/(1+$C$7)^Timing!L12</f>
        <v>0.86863337379104699</v>
      </c>
      <c r="M14" s="33">
        <f>1/(1+$C$7)^Timing!M12</f>
        <v>0.84848192800102262</v>
      </c>
      <c r="N14" s="33">
        <f>1/(1+$C$7)^Timing!N12</f>
        <v>0.82879797606937522</v>
      </c>
      <c r="O14" s="33">
        <f>1/(1+$C$7)^Timing!O12</f>
        <v>0.80957067259523829</v>
      </c>
      <c r="P14" s="33">
        <f>1/(1+$C$7)^Timing!P12</f>
        <v>0.79078942378045258</v>
      </c>
      <c r="Q14" s="33">
        <f>1/(1+$C$7)^Timing!Q12</f>
        <v>0.77244388159262767</v>
      </c>
      <c r="R14" s="33">
        <f>1/(1+$C$7)^Timing!R12</f>
        <v>0.75452393806361684</v>
      </c>
      <c r="S14" s="33">
        <f>1/(1+$C$7)^Timing!S12</f>
        <v>0.7370197197202607</v>
      </c>
      <c r="T14" s="33">
        <f>1/(1+$C$7)^Timing!T12</f>
        <v>0.71992158214433277</v>
      </c>
      <c r="U14" s="33">
        <f>1/(1+$C$7)^Timing!U12</f>
        <v>0.70322010465868889</v>
      </c>
      <c r="V14" s="33">
        <f>1/(1+$C$7)^Timing!V12</f>
        <v>0.6869060851366926</v>
      </c>
      <c r="W14" s="33">
        <f>1/(1+$C$7)^Timing!W12</f>
        <v>0.67097053493205627</v>
      </c>
      <c r="X14" s="33">
        <f>1/(1+$C$7)^Timing!X12</f>
        <v>0.65540467392630652</v>
      </c>
      <c r="Y14" s="33">
        <f>1/(1+$C$7)^Timing!Y12</f>
        <v>0.64019992569114192</v>
      </c>
      <c r="Z14" s="33">
        <f>1/(1+$C$7)^Timing!Z12</f>
        <v>0.62534791276302026</v>
      </c>
      <c r="AA14" s="33">
        <f>1/(1+$C$7)^Timing!AA12</f>
        <v>0.61084045202737014</v>
      </c>
      <c r="AB14" s="33">
        <f>1/(1+$C$7)^Timing!AB12</f>
        <v>0.59666955020988544</v>
      </c>
      <c r="AC14" s="33">
        <f>1/(1+$C$7)^Timing!AC12</f>
        <v>0.58282739947241546</v>
      </c>
      <c r="AD14" s="33">
        <f>1/(1+$C$7)^Timing!AD12</f>
        <v>0.56930637311102872</v>
      </c>
      <c r="AE14" s="33">
        <f>1/(1+$C$7)^Timing!AE12</f>
        <v>0.55609902135387423</v>
      </c>
      <c r="AF14" s="33">
        <f>1/(1+$C$7)^Timing!AF12</f>
        <v>0.54319806725653164</v>
      </c>
      <c r="AG14" s="33">
        <f>1/(1+$C$7)^Timing!AG12</f>
        <v>0.53059640269258279</v>
      </c>
      <c r="AH14" s="33">
        <f>1/(1+$C$7)^Timing!AH12</f>
        <v>0.5182870844371994</v>
      </c>
      <c r="AI14" s="33">
        <f>1/(1+$C$7)^Timing!AI12</f>
        <v>0.50626333034158666</v>
      </c>
      <c r="AJ14" s="33">
        <f>1/(1+$C$7)^Timing!AJ12</f>
        <v>0.49451851559617749</v>
      </c>
      <c r="AK14" s="33">
        <f>1/(1+$C$7)^Timing!AK12</f>
        <v>0.48304616908051518</v>
      </c>
      <c r="AL14" s="33">
        <f>1/(1+$C$7)^Timing!AL12</f>
        <v>0.47183996979781717</v>
      </c>
      <c r="AM14" s="33">
        <f>1/(1+$C$7)^Timing!AM12</f>
        <v>0.46089374339225125</v>
      </c>
      <c r="AN14" s="33">
        <f>1/(1+$C$7)^Timing!AN12</f>
        <v>0.45020145874700973</v>
      </c>
      <c r="AO14" s="33">
        <f>1/(1+$C$7)^Timing!AO12</f>
        <v>0.43975722466130374</v>
      </c>
      <c r="AP14" s="33">
        <f>1/(1+$C$7)^Timing!AP12</f>
        <v>0.42955528660444819</v>
      </c>
      <c r="AQ14" s="33">
        <f>1/(1+$C$7)^Timing!AQ12</f>
        <v>0.41959002354524849</v>
      </c>
      <c r="AR14" s="33">
        <f>1/(1+$C$7)^Timing!AR12</f>
        <v>0.40985594485494364</v>
      </c>
      <c r="AS14" s="33">
        <f>1/(1+$C$7)^Timing!AS12</f>
        <v>0.40034768728199621</v>
      </c>
      <c r="AT14" s="33">
        <f>1/(1+$C$7)^Timing!AT12</f>
        <v>0.39106001199706597</v>
      </c>
      <c r="AU14" s="33">
        <f>1/(1+$C$7)^Timing!AU12</f>
        <v>0.38198780170653579</v>
      </c>
      <c r="AV14" s="33">
        <f>1/(1+$C$7)^Timing!AV12</f>
        <v>0.37312605783300196</v>
      </c>
      <c r="AW14" s="33">
        <f>1/(1+$C$7)^Timing!AW12</f>
        <v>0.36446989776117411</v>
      </c>
      <c r="AX14" s="33">
        <f>1/(1+$C$7)^Timing!AX12</f>
        <v>0.35601455214766703</v>
      </c>
      <c r="AY14" s="33">
        <f>1/(1+$C$7)^Timing!AY12</f>
        <v>0.34775536229320347</v>
      </c>
      <c r="AZ14" s="33">
        <f>1/(1+$C$7)^Timing!AZ12</f>
        <v>0.33968777757577873</v>
      </c>
      <c r="BA14" s="33">
        <f>1/(1+$C$7)^Timing!BA12</f>
        <v>0.3318073529433736</v>
      </c>
      <c r="BB14" s="33">
        <f>1/(1+$C$7)^Timing!BB12</f>
        <v>0.32410974646483387</v>
      </c>
      <c r="BC14" s="33">
        <f>1/(1+$C$7)^Timing!BC12</f>
        <v>0.31659071693756663</v>
      </c>
      <c r="BD14" s="33">
        <f>1/(1+$C$7)^Timing!BD12</f>
        <v>0.30924612155073666</v>
      </c>
    </row>
    <row r="15" spans="1:56" ht="15.75" customHeight="1" x14ac:dyDescent="0.2">
      <c r="A15" s="29"/>
      <c r="B15" s="30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</row>
    <row r="16" spans="1:56" ht="15.75" customHeight="1" x14ac:dyDescent="0.2">
      <c r="A16" s="29"/>
      <c r="B16" s="45" t="s">
        <v>143</v>
      </c>
      <c r="C16" s="54">
        <f>SUMPRODUCT(Timing!E17:BD17,Debt!E13:BD13,Debt!E14:BD14)</f>
        <v>33.451502513477159</v>
      </c>
      <c r="D16" s="46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</row>
    <row r="17" spans="1:56" ht="15.75" customHeight="1" x14ac:dyDescent="0.2">
      <c r="A17" s="29"/>
      <c r="B17" s="30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</row>
    <row r="18" spans="1:56" ht="15.75" customHeight="1" x14ac:dyDescent="0.2">
      <c r="A18" s="51" t="s">
        <v>144</v>
      </c>
      <c r="B18" s="52" t="s">
        <v>145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1:56" ht="15.75" customHeight="1" x14ac:dyDescent="0.2">
      <c r="A19" s="29"/>
      <c r="B19" s="30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</row>
    <row r="20" spans="1:56" ht="15.75" customHeight="1" x14ac:dyDescent="0.2">
      <c r="A20" s="29"/>
      <c r="B20" s="45" t="s">
        <v>146</v>
      </c>
      <c r="C20" s="54">
        <f>Inputs!C18*Construction!C31</f>
        <v>30.75</v>
      </c>
      <c r="D20" s="46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 spans="1:56" ht="15.75" customHeight="1" x14ac:dyDescent="0.2">
      <c r="A21" s="29"/>
      <c r="B21" s="30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 spans="1:56" ht="15.75" customHeight="1" x14ac:dyDescent="0.2">
      <c r="A22" s="29"/>
      <c r="B22" s="55" t="s">
        <v>147</v>
      </c>
      <c r="C22" s="56">
        <f>MIN(C20,C16)</f>
        <v>30.75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 spans="1:56" ht="15.75" customHeight="1" x14ac:dyDescent="0.2">
      <c r="A23" s="29"/>
      <c r="B23" s="55" t="s">
        <v>148</v>
      </c>
      <c r="C23" s="57" t="str">
        <f>IF(C20&lt;C16,"Gearing-based","DSCR-based")</f>
        <v>Gearing-based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</row>
    <row r="24" spans="1:56" ht="15.75" customHeight="1" x14ac:dyDescent="0.2">
      <c r="A24" s="29"/>
      <c r="B24" s="30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</row>
    <row r="25" spans="1:56" ht="15.75" customHeight="1" x14ac:dyDescent="0.2">
      <c r="A25" s="29"/>
      <c r="B25" s="30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</row>
    <row r="26" spans="1:56" ht="15.75" customHeight="1" x14ac:dyDescent="0.2">
      <c r="A26" s="29"/>
      <c r="B26" s="27" t="s">
        <v>149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</row>
    <row r="27" spans="1:56" ht="15.75" customHeight="1" x14ac:dyDescent="0.2">
      <c r="A27" s="29"/>
      <c r="B27" s="30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</row>
    <row r="28" spans="1:56" ht="15.75" customHeight="1" x14ac:dyDescent="0.2">
      <c r="A28" s="29"/>
      <c r="B28" s="58" t="s">
        <v>150</v>
      </c>
      <c r="C28" s="59"/>
      <c r="D28" s="59"/>
      <c r="E28" s="59">
        <v>0</v>
      </c>
      <c r="F28" s="59">
        <v>0</v>
      </c>
      <c r="G28" s="60">
        <f t="shared" ref="G28:AL28" si="2">F34</f>
        <v>30.75</v>
      </c>
      <c r="H28" s="60">
        <f t="shared" si="2"/>
        <v>29.913530319354837</v>
      </c>
      <c r="I28" s="60">
        <f t="shared" si="2"/>
        <v>29.197964328955642</v>
      </c>
      <c r="J28" s="60">
        <f t="shared" si="2"/>
        <v>28.339048357187693</v>
      </c>
      <c r="K28" s="60">
        <f t="shared" si="2"/>
        <v>27.59979912702574</v>
      </c>
      <c r="L28" s="60">
        <f t="shared" si="2"/>
        <v>26.717400827899375</v>
      </c>
      <c r="M28" s="60">
        <f t="shared" si="2"/>
        <v>25.953411235124566</v>
      </c>
      <c r="N28" s="60">
        <f t="shared" si="2"/>
        <v>25.046447194433323</v>
      </c>
      <c r="O28" s="60">
        <f t="shared" si="2"/>
        <v>24.25661159540169</v>
      </c>
      <c r="P28" s="60">
        <f t="shared" si="2"/>
        <v>23.323948784344978</v>
      </c>
      <c r="Q28" s="60">
        <f t="shared" si="2"/>
        <v>22.507110724963564</v>
      </c>
      <c r="R28" s="60">
        <f t="shared" si="2"/>
        <v>21.547564156872312</v>
      </c>
      <c r="S28" s="60">
        <f t="shared" si="2"/>
        <v>20.702513973759601</v>
      </c>
      <c r="T28" s="60">
        <f t="shared" si="2"/>
        <v>19.714844249061553</v>
      </c>
      <c r="U28" s="60">
        <f t="shared" si="2"/>
        <v>18.84031655629278</v>
      </c>
      <c r="V28" s="60">
        <f t="shared" si="2"/>
        <v>17.823227290362926</v>
      </c>
      <c r="W28" s="60">
        <f t="shared" si="2"/>
        <v>16.917898346318637</v>
      </c>
      <c r="X28" s="60">
        <f t="shared" si="2"/>
        <v>15.870033474603265</v>
      </c>
      <c r="Y28" s="60">
        <f t="shared" si="2"/>
        <v>14.932518423176296</v>
      </c>
      <c r="Z28" s="60">
        <f t="shared" si="2"/>
        <v>13.852459377709767</v>
      </c>
      <c r="AA28" s="60">
        <f t="shared" si="2"/>
        <v>12.881309357850094</v>
      </c>
      <c r="AB28" s="60">
        <f t="shared" si="2"/>
        <v>11.767572109001152</v>
      </c>
      <c r="AC28" s="60">
        <f t="shared" si="2"/>
        <v>10.76127122628905</v>
      </c>
      <c r="AD28" s="60">
        <f t="shared" si="2"/>
        <v>9.6123031832776018</v>
      </c>
      <c r="AE28" s="60">
        <f t="shared" si="2"/>
        <v>8.5692653369126468</v>
      </c>
      <c r="AF28" s="60">
        <f t="shared" si="2"/>
        <v>7.3834421003278976</v>
      </c>
      <c r="AG28" s="60">
        <f t="shared" si="2"/>
        <v>6.3020076586039364</v>
      </c>
      <c r="AH28" s="60">
        <f t="shared" si="2"/>
        <v>5.0776296178297713</v>
      </c>
      <c r="AI28" s="60">
        <f t="shared" si="2"/>
        <v>3.9560619348332482</v>
      </c>
      <c r="AJ28" s="60">
        <f t="shared" si="2"/>
        <v>2.6913507029461674</v>
      </c>
      <c r="AK28" s="60">
        <f t="shared" si="2"/>
        <v>1.5278324688665668</v>
      </c>
      <c r="AL28" s="60">
        <f t="shared" si="2"/>
        <v>0.22092714721454954</v>
      </c>
      <c r="AM28" s="60">
        <f t="shared" ref="AM28:BD28" si="3">AL34</f>
        <v>0</v>
      </c>
      <c r="AN28" s="60">
        <f t="shared" si="3"/>
        <v>0</v>
      </c>
      <c r="AO28" s="60">
        <f t="shared" si="3"/>
        <v>0</v>
      </c>
      <c r="AP28" s="60">
        <f t="shared" si="3"/>
        <v>0</v>
      </c>
      <c r="AQ28" s="60">
        <f t="shared" si="3"/>
        <v>0</v>
      </c>
      <c r="AR28" s="60">
        <f t="shared" si="3"/>
        <v>0</v>
      </c>
      <c r="AS28" s="60">
        <f t="shared" si="3"/>
        <v>0</v>
      </c>
      <c r="AT28" s="60">
        <f t="shared" si="3"/>
        <v>0</v>
      </c>
      <c r="AU28" s="60">
        <f t="shared" si="3"/>
        <v>0</v>
      </c>
      <c r="AV28" s="60">
        <f t="shared" si="3"/>
        <v>0</v>
      </c>
      <c r="AW28" s="60">
        <f t="shared" si="3"/>
        <v>0</v>
      </c>
      <c r="AX28" s="60">
        <f t="shared" si="3"/>
        <v>0</v>
      </c>
      <c r="AY28" s="60">
        <f t="shared" si="3"/>
        <v>0</v>
      </c>
      <c r="AZ28" s="60">
        <f t="shared" si="3"/>
        <v>0</v>
      </c>
      <c r="BA28" s="60">
        <f t="shared" si="3"/>
        <v>0</v>
      </c>
      <c r="BB28" s="60">
        <f t="shared" si="3"/>
        <v>0</v>
      </c>
      <c r="BC28" s="60">
        <f t="shared" si="3"/>
        <v>0</v>
      </c>
      <c r="BD28" s="60">
        <f t="shared" si="3"/>
        <v>0</v>
      </c>
    </row>
    <row r="29" spans="1:56" ht="15.75" customHeight="1" x14ac:dyDescent="0.2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</row>
    <row r="30" spans="1:56" ht="15.75" customHeight="1" x14ac:dyDescent="0.2">
      <c r="A30" s="29"/>
      <c r="B30" s="30" t="s">
        <v>151</v>
      </c>
      <c r="C30" s="29"/>
      <c r="D30" s="29"/>
      <c r="E30" s="29">
        <v>0</v>
      </c>
      <c r="F30" s="29">
        <v>0</v>
      </c>
      <c r="G30" s="33">
        <f t="shared" ref="G30:AL30" si="4">G28*$C$7</f>
        <v>0.73031250000000003</v>
      </c>
      <c r="H30" s="33">
        <f t="shared" si="4"/>
        <v>0.71044634508467741</v>
      </c>
      <c r="I30" s="33">
        <f t="shared" si="4"/>
        <v>0.6934516528126965</v>
      </c>
      <c r="J30" s="33">
        <f t="shared" si="4"/>
        <v>0.67305239848320775</v>
      </c>
      <c r="K30" s="33">
        <f t="shared" si="4"/>
        <v>0.65549522926686132</v>
      </c>
      <c r="L30" s="33">
        <f t="shared" si="4"/>
        <v>0.63453826966261018</v>
      </c>
      <c r="M30" s="33">
        <f t="shared" si="4"/>
        <v>0.6163935168342084</v>
      </c>
      <c r="N30" s="33">
        <f t="shared" si="4"/>
        <v>0.59485312086779141</v>
      </c>
      <c r="O30" s="33">
        <f t="shared" si="4"/>
        <v>0.5760945253907902</v>
      </c>
      <c r="P30" s="33">
        <f t="shared" si="4"/>
        <v>0.55394378362819319</v>
      </c>
      <c r="Q30" s="33">
        <f t="shared" si="4"/>
        <v>0.53454387971788464</v>
      </c>
      <c r="R30" s="33">
        <f t="shared" si="4"/>
        <v>0.51175464872571741</v>
      </c>
      <c r="S30" s="33">
        <f t="shared" si="4"/>
        <v>0.4916847068767905</v>
      </c>
      <c r="T30" s="33">
        <f t="shared" si="4"/>
        <v>0.4682275509152119</v>
      </c>
      <c r="U30" s="33">
        <f t="shared" si="4"/>
        <v>0.44745751821195356</v>
      </c>
      <c r="V30" s="33">
        <f t="shared" si="4"/>
        <v>0.42330164814611948</v>
      </c>
      <c r="W30" s="33">
        <f t="shared" si="4"/>
        <v>0.40180008572506765</v>
      </c>
      <c r="X30" s="33">
        <f t="shared" si="4"/>
        <v>0.37691329502182752</v>
      </c>
      <c r="Y30" s="33">
        <f t="shared" si="4"/>
        <v>0.35464731255043702</v>
      </c>
      <c r="Z30" s="33">
        <f t="shared" si="4"/>
        <v>0.32899591022060698</v>
      </c>
      <c r="AA30" s="33">
        <f t="shared" si="4"/>
        <v>0.30593109724893974</v>
      </c>
      <c r="AB30" s="33">
        <f t="shared" si="4"/>
        <v>0.27947983758877737</v>
      </c>
      <c r="AC30" s="33">
        <f t="shared" si="4"/>
        <v>0.25558019162436496</v>
      </c>
      <c r="AD30" s="33">
        <f t="shared" si="4"/>
        <v>0.22829220060284305</v>
      </c>
      <c r="AE30" s="33">
        <f t="shared" si="4"/>
        <v>0.20352005175167537</v>
      </c>
      <c r="AF30" s="33">
        <f t="shared" si="4"/>
        <v>0.17535674988278757</v>
      </c>
      <c r="AG30" s="33">
        <f t="shared" si="4"/>
        <v>0.14967268189184349</v>
      </c>
      <c r="AH30" s="33">
        <f t="shared" si="4"/>
        <v>0.12059370342345707</v>
      </c>
      <c r="AI30" s="33">
        <f t="shared" si="4"/>
        <v>9.395647095228965E-2</v>
      </c>
      <c r="AJ30" s="33">
        <f t="shared" si="4"/>
        <v>6.3919579194971474E-2</v>
      </c>
      <c r="AK30" s="33">
        <f t="shared" si="4"/>
        <v>3.6286021135580958E-2</v>
      </c>
      <c r="AL30" s="33">
        <f t="shared" si="4"/>
        <v>5.2470197463455517E-3</v>
      </c>
      <c r="AM30" s="33">
        <f t="shared" ref="AM30:BD30" si="5">AM28*$C$7</f>
        <v>0</v>
      </c>
      <c r="AN30" s="33">
        <f t="shared" si="5"/>
        <v>0</v>
      </c>
      <c r="AO30" s="33">
        <f t="shared" si="5"/>
        <v>0</v>
      </c>
      <c r="AP30" s="33">
        <f t="shared" si="5"/>
        <v>0</v>
      </c>
      <c r="AQ30" s="33">
        <f t="shared" si="5"/>
        <v>0</v>
      </c>
      <c r="AR30" s="33">
        <f t="shared" si="5"/>
        <v>0</v>
      </c>
      <c r="AS30" s="33">
        <f t="shared" si="5"/>
        <v>0</v>
      </c>
      <c r="AT30" s="33">
        <f t="shared" si="5"/>
        <v>0</v>
      </c>
      <c r="AU30" s="33">
        <f t="shared" si="5"/>
        <v>0</v>
      </c>
      <c r="AV30" s="33">
        <f t="shared" si="5"/>
        <v>0</v>
      </c>
      <c r="AW30" s="33">
        <f t="shared" si="5"/>
        <v>0</v>
      </c>
      <c r="AX30" s="33">
        <f t="shared" si="5"/>
        <v>0</v>
      </c>
      <c r="AY30" s="33">
        <f t="shared" si="5"/>
        <v>0</v>
      </c>
      <c r="AZ30" s="33">
        <f t="shared" si="5"/>
        <v>0</v>
      </c>
      <c r="BA30" s="33">
        <f t="shared" si="5"/>
        <v>0</v>
      </c>
      <c r="BB30" s="33">
        <f t="shared" si="5"/>
        <v>0</v>
      </c>
      <c r="BC30" s="33">
        <f t="shared" si="5"/>
        <v>0</v>
      </c>
      <c r="BD30" s="33">
        <f t="shared" si="5"/>
        <v>0</v>
      </c>
    </row>
    <row r="31" spans="1:56" ht="15.75" customHeight="1" x14ac:dyDescent="0.2">
      <c r="A31" s="29"/>
      <c r="B31" s="30" t="s">
        <v>152</v>
      </c>
      <c r="C31" s="29"/>
      <c r="D31" s="29"/>
      <c r="E31" s="29">
        <v>0</v>
      </c>
      <c r="F31" s="29">
        <v>0</v>
      </c>
      <c r="G31" s="37">
        <f t="shared" ref="G31:AL31" si="6">G13</f>
        <v>1.5667821806451612</v>
      </c>
      <c r="H31" s="37">
        <f t="shared" si="6"/>
        <v>1.4260123354838712</v>
      </c>
      <c r="I31" s="37">
        <f t="shared" si="6"/>
        <v>1.5523676245806448</v>
      </c>
      <c r="J31" s="37">
        <f t="shared" si="6"/>
        <v>1.4123016286451613</v>
      </c>
      <c r="K31" s="37">
        <f t="shared" si="6"/>
        <v>1.5378935283932256</v>
      </c>
      <c r="L31" s="37">
        <f t="shared" si="6"/>
        <v>1.3985278624374191</v>
      </c>
      <c r="M31" s="37">
        <f t="shared" si="6"/>
        <v>1.5233575575254528</v>
      </c>
      <c r="N31" s="37">
        <f t="shared" si="6"/>
        <v>1.3846887198994255</v>
      </c>
      <c r="O31" s="37">
        <f t="shared" si="6"/>
        <v>1.5087573364475038</v>
      </c>
      <c r="P31" s="37">
        <f t="shared" si="6"/>
        <v>1.3707818430096059</v>
      </c>
      <c r="Q31" s="37">
        <f t="shared" si="6"/>
        <v>1.4940904478091372</v>
      </c>
      <c r="R31" s="37">
        <f t="shared" si="6"/>
        <v>1.3568048318384289</v>
      </c>
      <c r="S31" s="37">
        <f t="shared" si="6"/>
        <v>1.4793544315748395</v>
      </c>
      <c r="T31" s="37">
        <f t="shared" si="6"/>
        <v>1.3427552436839856</v>
      </c>
      <c r="U31" s="37">
        <f t="shared" si="6"/>
        <v>1.4645467841418087</v>
      </c>
      <c r="V31" s="37">
        <f t="shared" si="6"/>
        <v>1.3286305921904085</v>
      </c>
      <c r="W31" s="37">
        <f t="shared" si="6"/>
        <v>1.4496649574404403</v>
      </c>
      <c r="X31" s="37">
        <f t="shared" si="6"/>
        <v>1.3144283464487967</v>
      </c>
      <c r="Y31" s="37">
        <f t="shared" si="6"/>
        <v>1.434706358016965</v>
      </c>
      <c r="Z31" s="37">
        <f t="shared" si="6"/>
        <v>1.3001459300802798</v>
      </c>
      <c r="AA31" s="37">
        <f t="shared" si="6"/>
        <v>1.4196683460978814</v>
      </c>
      <c r="AB31" s="37">
        <f t="shared" si="6"/>
        <v>1.2857807203008802</v>
      </c>
      <c r="AC31" s="37">
        <f t="shared" si="6"/>
        <v>1.4045482346358138</v>
      </c>
      <c r="AD31" s="37">
        <f t="shared" si="6"/>
        <v>1.2713300469677975</v>
      </c>
      <c r="AE31" s="37">
        <f t="shared" si="6"/>
        <v>1.389343288336425</v>
      </c>
      <c r="AF31" s="37">
        <f t="shared" si="6"/>
        <v>1.2567911916067487</v>
      </c>
      <c r="AG31" s="37">
        <f t="shared" si="6"/>
        <v>1.3740507226660084</v>
      </c>
      <c r="AH31" s="37">
        <f t="shared" si="6"/>
        <v>1.2421613864199803</v>
      </c>
      <c r="AI31" s="37">
        <f t="shared" si="6"/>
        <v>1.3586677028393703</v>
      </c>
      <c r="AJ31" s="37">
        <f t="shared" si="6"/>
        <v>1.227437813274572</v>
      </c>
      <c r="AK31" s="37">
        <f t="shared" si="6"/>
        <v>1.3431913427875981</v>
      </c>
      <c r="AL31" s="37">
        <f t="shared" si="6"/>
        <v>1.2126176026706237</v>
      </c>
      <c r="AM31" s="37">
        <f t="shared" ref="AM31:BD31" si="7">AM13</f>
        <v>1.3276187041053333</v>
      </c>
      <c r="AN31" s="37">
        <f t="shared" si="7"/>
        <v>1.1976978326889443</v>
      </c>
      <c r="AO31" s="37">
        <f t="shared" si="7"/>
        <v>1.3119467949771135</v>
      </c>
      <c r="AP31" s="37">
        <f t="shared" si="7"/>
        <v>1.1826755279178063</v>
      </c>
      <c r="AQ31" s="37">
        <f t="shared" si="7"/>
        <v>1.2961725690823815</v>
      </c>
      <c r="AR31" s="37">
        <f t="shared" si="7"/>
        <v>1.1675476583583708</v>
      </c>
      <c r="AS31" s="37">
        <f t="shared" si="7"/>
        <v>1.2802929244787253</v>
      </c>
      <c r="AT31" s="37">
        <f t="shared" si="7"/>
        <v>1.1523111383083346</v>
      </c>
      <c r="AU31" s="37">
        <f t="shared" si="7"/>
        <v>0.73759160588246941</v>
      </c>
      <c r="AV31" s="37">
        <f t="shared" si="7"/>
        <v>0.65170636035501173</v>
      </c>
      <c r="AW31" s="37">
        <f t="shared" si="7"/>
        <v>0.724430733203695</v>
      </c>
      <c r="AX31" s="37">
        <f t="shared" si="7"/>
        <v>0.63897491390387473</v>
      </c>
      <c r="AY31" s="37">
        <f t="shared" si="7"/>
        <v>0.71114620659532735</v>
      </c>
      <c r="AZ31" s="37">
        <f t="shared" si="7"/>
        <v>0.62611766639200606</v>
      </c>
      <c r="BA31" s="37">
        <f t="shared" si="7"/>
        <v>0.69773485516115452</v>
      </c>
      <c r="BB31" s="37">
        <f t="shared" si="7"/>
        <v>0.6131314576588498</v>
      </c>
      <c r="BC31" s="37">
        <f t="shared" si="7"/>
        <v>0.6841934480761287</v>
      </c>
      <c r="BD31" s="37">
        <f t="shared" si="7"/>
        <v>0.60001306756133543</v>
      </c>
    </row>
    <row r="32" spans="1:56" ht="15.75" customHeight="1" x14ac:dyDescent="0.2">
      <c r="A32" s="29"/>
      <c r="B32" s="30" t="s">
        <v>153</v>
      </c>
      <c r="C32" s="29"/>
      <c r="D32" s="29"/>
      <c r="E32" s="29">
        <v>0</v>
      </c>
      <c r="F32" s="29">
        <v>0</v>
      </c>
      <c r="G32" s="33">
        <f>MIN(G28,MAX(0,G31-G30))*Timing!G17</f>
        <v>0.83646968064516114</v>
      </c>
      <c r="H32" s="33">
        <f>MIN(H28,MAX(0,H31-H30))*Timing!H17</f>
        <v>0.71556599039919377</v>
      </c>
      <c r="I32" s="33">
        <f>MIN(I28,MAX(0,I31-I30))*Timing!I17</f>
        <v>0.85891597176794832</v>
      </c>
      <c r="J32" s="33">
        <f>MIN(J28,MAX(0,J31-J30))*Timing!J17</f>
        <v>0.73924923016195354</v>
      </c>
      <c r="K32" s="33">
        <f>MIN(K28,MAX(0,K31-K30))*Timing!K17</f>
        <v>0.88239829912636425</v>
      </c>
      <c r="L32" s="33">
        <f>MIN(L28,MAX(0,L31-L30))*Timing!L17</f>
        <v>0.76398959277480893</v>
      </c>
      <c r="M32" s="33">
        <f>MIN(M28,MAX(0,M31-M30))*Timing!M17</f>
        <v>0.90696404069124437</v>
      </c>
      <c r="N32" s="33">
        <f>MIN(N28,MAX(0,N31-N30))*Timing!N17</f>
        <v>0.78983559903163414</v>
      </c>
      <c r="O32" s="33">
        <f>MIN(O28,MAX(0,O31-O30))*Timing!O17</f>
        <v>0.93266281105671356</v>
      </c>
      <c r="P32" s="33">
        <f>MIN(P28,MAX(0,P31-P30))*Timing!P17</f>
        <v>0.81683805938141274</v>
      </c>
      <c r="Q32" s="33">
        <f>MIN(Q28,MAX(0,Q31-Q30))*Timing!Q17</f>
        <v>0.95954656809125261</v>
      </c>
      <c r="R32" s="33">
        <f>MIN(R28,MAX(0,R31-R30))*Timing!R17</f>
        <v>0.84505018311271152</v>
      </c>
      <c r="S32" s="33">
        <f>MIN(S28,MAX(0,S31-S30))*Timing!S17</f>
        <v>0.98766972469804903</v>
      </c>
      <c r="T32" s="33">
        <f>MIN(T28,MAX(0,T31-T30))*Timing!T17</f>
        <v>0.87452769276877373</v>
      </c>
      <c r="U32" s="33">
        <f>MIN(U28,MAX(0,U31-U30))*Timing!U17</f>
        <v>1.0170892659298552</v>
      </c>
      <c r="V32" s="33">
        <f>MIN(V28,MAX(0,V31-V30))*Timing!V17</f>
        <v>0.90532894404428899</v>
      </c>
      <c r="W32" s="33">
        <f>MIN(W28,MAX(0,W31-W30))*Timing!W17</f>
        <v>1.0478648717153727</v>
      </c>
      <c r="X32" s="33">
        <f>MIN(X28,MAX(0,X31-X30))*Timing!X17</f>
        <v>0.93751505142696923</v>
      </c>
      <c r="Y32" s="33">
        <f>MIN(Y28,MAX(0,Y31-Y30))*Timing!Y17</f>
        <v>1.080059045466528</v>
      </c>
      <c r="Z32" s="33">
        <f>MIN(Z28,MAX(0,Z31-Z30))*Timing!Z17</f>
        <v>0.97115001985967275</v>
      </c>
      <c r="AA32" s="33">
        <f>MIN(AA28,MAX(0,AA31-AA30))*Timing!AA17</f>
        <v>1.1137372488489417</v>
      </c>
      <c r="AB32" s="33">
        <f>MIN(AB28,MAX(0,AB31-AB30))*Timing!AB17</f>
        <v>1.0063008827121029</v>
      </c>
      <c r="AC32" s="33">
        <f>MIN(AC28,MAX(0,AC31-AC30))*Timing!AC17</f>
        <v>1.1489680430114488</v>
      </c>
      <c r="AD32" s="33">
        <f>MIN(AD28,MAX(0,AD31-AD30))*Timing!AD17</f>
        <v>1.0430378463649546</v>
      </c>
      <c r="AE32" s="33">
        <f>MIN(AE28,MAX(0,AE31-AE30))*Timing!AE17</f>
        <v>1.1858232365847496</v>
      </c>
      <c r="AF32" s="33">
        <f>MIN(AF28,MAX(0,AF31-AF30))*Timing!AF17</f>
        <v>1.0814344417239612</v>
      </c>
      <c r="AG32" s="33">
        <f>MIN(AG28,MAX(0,AG31-AG30))*Timing!AG17</f>
        <v>1.2243780407741649</v>
      </c>
      <c r="AH32" s="33">
        <f>MIN(AH28,MAX(0,AH31-AH30))*Timing!AH17</f>
        <v>1.1215676829965233</v>
      </c>
      <c r="AI32" s="33">
        <f>MIN(AI28,MAX(0,AI31-AI30))*Timing!AI17</f>
        <v>1.2647112318870808</v>
      </c>
      <c r="AJ32" s="33">
        <f>MIN(AJ28,MAX(0,AJ31-AJ30))*Timing!AJ17</f>
        <v>1.1635182340796006</v>
      </c>
      <c r="AK32" s="33">
        <f>MIN(AK28,MAX(0,AK31-AK30))*Timing!AK17</f>
        <v>1.3069053216520172</v>
      </c>
      <c r="AL32" s="33">
        <f>MIN(AL28,MAX(0,AL31-AL30))*Timing!AL17</f>
        <v>0.22092714721454954</v>
      </c>
      <c r="AM32" s="33">
        <f>MIN(AM28,MAX(0,AM31-AM30))*Timing!AM17</f>
        <v>0</v>
      </c>
      <c r="AN32" s="33">
        <f>MIN(AN28,MAX(0,AN31-AN30))*Timing!AN17</f>
        <v>0</v>
      </c>
      <c r="AO32" s="33">
        <f>MIN(AO28,MAX(0,AO31-AO30))*Timing!AO17</f>
        <v>0</v>
      </c>
      <c r="AP32" s="33">
        <f>MIN(AP28,MAX(0,AP31-AP30))*Timing!AP17</f>
        <v>0</v>
      </c>
      <c r="AQ32" s="33">
        <f>MIN(AQ28,MAX(0,AQ31-AQ30))*Timing!AQ17</f>
        <v>0</v>
      </c>
      <c r="AR32" s="33">
        <f>MIN(AR28,MAX(0,AR31-AR30))*Timing!AR17</f>
        <v>0</v>
      </c>
      <c r="AS32" s="33">
        <f>MIN(AS28,MAX(0,AS31-AS30))*Timing!AS17</f>
        <v>0</v>
      </c>
      <c r="AT32" s="33">
        <f>MIN(AT28,MAX(0,AT31-AT30))*Timing!AT17</f>
        <v>0</v>
      </c>
      <c r="AU32" s="33">
        <f>MIN(AU28,MAX(0,AU31-AU30))*Timing!AU17</f>
        <v>0</v>
      </c>
      <c r="AV32" s="33">
        <f>MIN(AV28,MAX(0,AV31-AV30))*Timing!AV17</f>
        <v>0</v>
      </c>
      <c r="AW32" s="33">
        <f>MIN(AW28,MAX(0,AW31-AW30))*Timing!AW17</f>
        <v>0</v>
      </c>
      <c r="AX32" s="33">
        <f>MIN(AX28,MAX(0,AX31-AX30))*Timing!AX17</f>
        <v>0</v>
      </c>
      <c r="AY32" s="33">
        <f>MIN(AY28,MAX(0,AY31-AY30))*Timing!AY17</f>
        <v>0</v>
      </c>
      <c r="AZ32" s="33">
        <f>MIN(AZ28,MAX(0,AZ31-AZ30))*Timing!AZ17</f>
        <v>0</v>
      </c>
      <c r="BA32" s="33">
        <f>MIN(BA28,MAX(0,BA31-BA30))*Timing!BA17</f>
        <v>0</v>
      </c>
      <c r="BB32" s="33">
        <f>MIN(BB28,MAX(0,BB31-BB30))*Timing!BB17</f>
        <v>0</v>
      </c>
      <c r="BC32" s="33">
        <f>MIN(BC28,MAX(0,BC31-BC30))*Timing!BC17</f>
        <v>0</v>
      </c>
      <c r="BD32" s="33">
        <f>MIN(BD28,MAX(0,BD31-BD30))*Timing!BD17</f>
        <v>0</v>
      </c>
    </row>
    <row r="33" spans="1:56" ht="15.75" customHeight="1" x14ac:dyDescent="0.2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</row>
    <row r="34" spans="1:56" ht="15.75" customHeight="1" x14ac:dyDescent="0.2">
      <c r="A34" s="29"/>
      <c r="B34" s="58" t="s">
        <v>154</v>
      </c>
      <c r="C34" s="59"/>
      <c r="D34" s="59"/>
      <c r="E34" s="59">
        <v>0</v>
      </c>
      <c r="F34" s="60">
        <f>Debt!C22</f>
        <v>30.75</v>
      </c>
      <c r="G34" s="60">
        <f t="shared" ref="G34:AL34" si="8">G28-G32</f>
        <v>29.913530319354837</v>
      </c>
      <c r="H34" s="60">
        <f t="shared" si="8"/>
        <v>29.197964328955642</v>
      </c>
      <c r="I34" s="60">
        <f t="shared" si="8"/>
        <v>28.339048357187693</v>
      </c>
      <c r="J34" s="60">
        <f t="shared" si="8"/>
        <v>27.59979912702574</v>
      </c>
      <c r="K34" s="60">
        <f t="shared" si="8"/>
        <v>26.717400827899375</v>
      </c>
      <c r="L34" s="60">
        <f t="shared" si="8"/>
        <v>25.953411235124566</v>
      </c>
      <c r="M34" s="60">
        <f t="shared" si="8"/>
        <v>25.046447194433323</v>
      </c>
      <c r="N34" s="60">
        <f t="shared" si="8"/>
        <v>24.25661159540169</v>
      </c>
      <c r="O34" s="60">
        <f t="shared" si="8"/>
        <v>23.323948784344978</v>
      </c>
      <c r="P34" s="60">
        <f t="shared" si="8"/>
        <v>22.507110724963564</v>
      </c>
      <c r="Q34" s="60">
        <f t="shared" si="8"/>
        <v>21.547564156872312</v>
      </c>
      <c r="R34" s="60">
        <f t="shared" si="8"/>
        <v>20.702513973759601</v>
      </c>
      <c r="S34" s="60">
        <f t="shared" si="8"/>
        <v>19.714844249061553</v>
      </c>
      <c r="T34" s="60">
        <f t="shared" si="8"/>
        <v>18.84031655629278</v>
      </c>
      <c r="U34" s="60">
        <f t="shared" si="8"/>
        <v>17.823227290362926</v>
      </c>
      <c r="V34" s="60">
        <f t="shared" si="8"/>
        <v>16.917898346318637</v>
      </c>
      <c r="W34" s="60">
        <f t="shared" si="8"/>
        <v>15.870033474603265</v>
      </c>
      <c r="X34" s="60">
        <f t="shared" si="8"/>
        <v>14.932518423176296</v>
      </c>
      <c r="Y34" s="60">
        <f t="shared" si="8"/>
        <v>13.852459377709767</v>
      </c>
      <c r="Z34" s="60">
        <f t="shared" si="8"/>
        <v>12.881309357850094</v>
      </c>
      <c r="AA34" s="60">
        <f t="shared" si="8"/>
        <v>11.767572109001152</v>
      </c>
      <c r="AB34" s="60">
        <f t="shared" si="8"/>
        <v>10.76127122628905</v>
      </c>
      <c r="AC34" s="60">
        <f t="shared" si="8"/>
        <v>9.6123031832776018</v>
      </c>
      <c r="AD34" s="60">
        <f t="shared" si="8"/>
        <v>8.5692653369126468</v>
      </c>
      <c r="AE34" s="60">
        <f t="shared" si="8"/>
        <v>7.3834421003278976</v>
      </c>
      <c r="AF34" s="60">
        <f t="shared" si="8"/>
        <v>6.3020076586039364</v>
      </c>
      <c r="AG34" s="60">
        <f t="shared" si="8"/>
        <v>5.0776296178297713</v>
      </c>
      <c r="AH34" s="60">
        <f t="shared" si="8"/>
        <v>3.9560619348332482</v>
      </c>
      <c r="AI34" s="60">
        <f t="shared" si="8"/>
        <v>2.6913507029461674</v>
      </c>
      <c r="AJ34" s="60">
        <f t="shared" si="8"/>
        <v>1.5278324688665668</v>
      </c>
      <c r="AK34" s="60">
        <f t="shared" si="8"/>
        <v>0.22092714721454954</v>
      </c>
      <c r="AL34" s="60">
        <f t="shared" si="8"/>
        <v>0</v>
      </c>
      <c r="AM34" s="60">
        <f t="shared" ref="AM34:BD34" si="9">AM28-AM32</f>
        <v>0</v>
      </c>
      <c r="AN34" s="60">
        <f t="shared" si="9"/>
        <v>0</v>
      </c>
      <c r="AO34" s="60">
        <f t="shared" si="9"/>
        <v>0</v>
      </c>
      <c r="AP34" s="60">
        <f t="shared" si="9"/>
        <v>0</v>
      </c>
      <c r="AQ34" s="60">
        <f t="shared" si="9"/>
        <v>0</v>
      </c>
      <c r="AR34" s="60">
        <f t="shared" si="9"/>
        <v>0</v>
      </c>
      <c r="AS34" s="60">
        <f t="shared" si="9"/>
        <v>0</v>
      </c>
      <c r="AT34" s="60">
        <f t="shared" si="9"/>
        <v>0</v>
      </c>
      <c r="AU34" s="60">
        <f t="shared" si="9"/>
        <v>0</v>
      </c>
      <c r="AV34" s="60">
        <f t="shared" si="9"/>
        <v>0</v>
      </c>
      <c r="AW34" s="60">
        <f t="shared" si="9"/>
        <v>0</v>
      </c>
      <c r="AX34" s="60">
        <f t="shared" si="9"/>
        <v>0</v>
      </c>
      <c r="AY34" s="60">
        <f t="shared" si="9"/>
        <v>0</v>
      </c>
      <c r="AZ34" s="60">
        <f t="shared" si="9"/>
        <v>0</v>
      </c>
      <c r="BA34" s="60">
        <f t="shared" si="9"/>
        <v>0</v>
      </c>
      <c r="BB34" s="60">
        <f t="shared" si="9"/>
        <v>0</v>
      </c>
      <c r="BC34" s="60">
        <f t="shared" si="9"/>
        <v>0</v>
      </c>
      <c r="BD34" s="60">
        <f t="shared" si="9"/>
        <v>0</v>
      </c>
    </row>
    <row r="35" spans="1:56" ht="15.75" customHeight="1" x14ac:dyDescent="0.2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</row>
    <row r="36" spans="1:56" ht="15.75" customHeight="1" x14ac:dyDescent="0.2">
      <c r="A36" s="29"/>
      <c r="B36" s="30" t="s">
        <v>155</v>
      </c>
      <c r="C36" s="29"/>
      <c r="D36" s="29"/>
      <c r="E36" s="33">
        <f t="shared" ref="E36:AJ36" si="10">E30+E32</f>
        <v>0</v>
      </c>
      <c r="F36" s="33">
        <f t="shared" si="10"/>
        <v>0</v>
      </c>
      <c r="G36" s="33">
        <f t="shared" si="10"/>
        <v>1.5667821806451612</v>
      </c>
      <c r="H36" s="33">
        <f t="shared" si="10"/>
        <v>1.4260123354838712</v>
      </c>
      <c r="I36" s="33">
        <f t="shared" si="10"/>
        <v>1.5523676245806448</v>
      </c>
      <c r="J36" s="33">
        <f t="shared" si="10"/>
        <v>1.4123016286451613</v>
      </c>
      <c r="K36" s="33">
        <f t="shared" si="10"/>
        <v>1.5378935283932256</v>
      </c>
      <c r="L36" s="33">
        <f t="shared" si="10"/>
        <v>1.3985278624374191</v>
      </c>
      <c r="M36" s="33">
        <f t="shared" si="10"/>
        <v>1.5233575575254528</v>
      </c>
      <c r="N36" s="33">
        <f t="shared" si="10"/>
        <v>1.3846887198994255</v>
      </c>
      <c r="O36" s="33">
        <f t="shared" si="10"/>
        <v>1.5087573364475038</v>
      </c>
      <c r="P36" s="33">
        <f t="shared" si="10"/>
        <v>1.3707818430096059</v>
      </c>
      <c r="Q36" s="33">
        <f t="shared" si="10"/>
        <v>1.4940904478091372</v>
      </c>
      <c r="R36" s="33">
        <f t="shared" si="10"/>
        <v>1.3568048318384289</v>
      </c>
      <c r="S36" s="33">
        <f t="shared" si="10"/>
        <v>1.4793544315748395</v>
      </c>
      <c r="T36" s="33">
        <f t="shared" si="10"/>
        <v>1.3427552436839856</v>
      </c>
      <c r="U36" s="33">
        <f t="shared" si="10"/>
        <v>1.4645467841418087</v>
      </c>
      <c r="V36" s="33">
        <f t="shared" si="10"/>
        <v>1.3286305921904085</v>
      </c>
      <c r="W36" s="33">
        <f t="shared" si="10"/>
        <v>1.4496649574404403</v>
      </c>
      <c r="X36" s="33">
        <f t="shared" si="10"/>
        <v>1.3144283464487967</v>
      </c>
      <c r="Y36" s="33">
        <f t="shared" si="10"/>
        <v>1.434706358016965</v>
      </c>
      <c r="Z36" s="33">
        <f t="shared" si="10"/>
        <v>1.3001459300802798</v>
      </c>
      <c r="AA36" s="33">
        <f t="shared" si="10"/>
        <v>1.4196683460978814</v>
      </c>
      <c r="AB36" s="33">
        <f t="shared" si="10"/>
        <v>1.2857807203008802</v>
      </c>
      <c r="AC36" s="33">
        <f t="shared" si="10"/>
        <v>1.4045482346358138</v>
      </c>
      <c r="AD36" s="33">
        <f t="shared" si="10"/>
        <v>1.2713300469677975</v>
      </c>
      <c r="AE36" s="33">
        <f t="shared" si="10"/>
        <v>1.389343288336425</v>
      </c>
      <c r="AF36" s="33">
        <f t="shared" si="10"/>
        <v>1.2567911916067487</v>
      </c>
      <c r="AG36" s="33">
        <f t="shared" si="10"/>
        <v>1.3740507226660084</v>
      </c>
      <c r="AH36" s="33">
        <f t="shared" si="10"/>
        <v>1.2421613864199803</v>
      </c>
      <c r="AI36" s="33">
        <f t="shared" si="10"/>
        <v>1.3586677028393703</v>
      </c>
      <c r="AJ36" s="33">
        <f t="shared" si="10"/>
        <v>1.227437813274572</v>
      </c>
      <c r="AK36" s="33">
        <f t="shared" ref="AK36:BD36" si="11">AK30+AK32</f>
        <v>1.3431913427875981</v>
      </c>
      <c r="AL36" s="33">
        <f t="shared" si="11"/>
        <v>0.2261741669608951</v>
      </c>
      <c r="AM36" s="33">
        <f t="shared" si="11"/>
        <v>0</v>
      </c>
      <c r="AN36" s="33">
        <f t="shared" si="11"/>
        <v>0</v>
      </c>
      <c r="AO36" s="33">
        <f t="shared" si="11"/>
        <v>0</v>
      </c>
      <c r="AP36" s="33">
        <f t="shared" si="11"/>
        <v>0</v>
      </c>
      <c r="AQ36" s="33">
        <f t="shared" si="11"/>
        <v>0</v>
      </c>
      <c r="AR36" s="33">
        <f t="shared" si="11"/>
        <v>0</v>
      </c>
      <c r="AS36" s="33">
        <f t="shared" si="11"/>
        <v>0</v>
      </c>
      <c r="AT36" s="33">
        <f t="shared" si="11"/>
        <v>0</v>
      </c>
      <c r="AU36" s="33">
        <f t="shared" si="11"/>
        <v>0</v>
      </c>
      <c r="AV36" s="33">
        <f t="shared" si="11"/>
        <v>0</v>
      </c>
      <c r="AW36" s="33">
        <f t="shared" si="11"/>
        <v>0</v>
      </c>
      <c r="AX36" s="33">
        <f t="shared" si="11"/>
        <v>0</v>
      </c>
      <c r="AY36" s="33">
        <f t="shared" si="11"/>
        <v>0</v>
      </c>
      <c r="AZ36" s="33">
        <f t="shared" si="11"/>
        <v>0</v>
      </c>
      <c r="BA36" s="33">
        <f t="shared" si="11"/>
        <v>0</v>
      </c>
      <c r="BB36" s="33">
        <f t="shared" si="11"/>
        <v>0</v>
      </c>
      <c r="BC36" s="33">
        <f t="shared" si="11"/>
        <v>0</v>
      </c>
      <c r="BD36" s="33">
        <f t="shared" si="11"/>
        <v>0</v>
      </c>
    </row>
    <row r="37" spans="1:56" ht="15.75" customHeight="1" x14ac:dyDescent="0.2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</row>
    <row r="38" spans="1:56" ht="15.75" customHeight="1" x14ac:dyDescent="0.2">
      <c r="A38" s="29"/>
      <c r="B38" s="52" t="s">
        <v>156</v>
      </c>
      <c r="C38" s="29"/>
      <c r="D38" s="29"/>
      <c r="E38" s="29" t="str">
        <f>IFERROR(Operations!E37/Debt!E36," ")</f>
        <v xml:space="preserve"> </v>
      </c>
      <c r="F38" s="29" t="str">
        <f>IFERROR(Operations!F37/Debt!F36," ")</f>
        <v xml:space="preserve"> </v>
      </c>
      <c r="G38" s="33">
        <f>IFERROR(Operations!G37/Debt!G36," ")</f>
        <v>1.4531317156604338</v>
      </c>
      <c r="H38" s="33">
        <f>IFERROR(Operations!H37/Debt!H36," ")</f>
        <v>1.4783388208089681</v>
      </c>
      <c r="I38" s="33">
        <f>IFERROR(Operations!I37/Debt!I36," ")</f>
        <v>1.4498941548161268</v>
      </c>
      <c r="J38" s="33">
        <f>IFERROR(Operations!J37/Debt!J36," ")</f>
        <v>1.4747856753135642</v>
      </c>
      <c r="K38" s="33">
        <f>IFERROR(Operations!K37/Debt!K36," ")</f>
        <v>1.4464288074773446</v>
      </c>
      <c r="L38" s="33">
        <f>IFERROR(Operations!L37/Debt!L36," ")</f>
        <v>1.470976539674272</v>
      </c>
      <c r="M38" s="33">
        <f>IFERROR(Operations!M37/Debt!M36," ")</f>
        <v>1.4427210454970736</v>
      </c>
      <c r="N38" s="33">
        <f>IFERROR(Operations!N37/Debt!N36," ")</f>
        <v>1.4668945851416055</v>
      </c>
      <c r="O38" s="33">
        <f>IFERROR(Operations!O37/Debt!O36," ")</f>
        <v>1.4387552264078411</v>
      </c>
      <c r="P38" s="33">
        <f>IFERROR(Operations!P37/Debt!P36," ")</f>
        <v>1.4625217840872473</v>
      </c>
      <c r="Q38" s="33">
        <f>IFERROR(Operations!Q37/Debt!Q36," ")</f>
        <v>1.4345146151476418</v>
      </c>
      <c r="R38" s="33">
        <f>IFERROR(Operations!R37/Debt!R36," ")</f>
        <v>1.4578388144008663</v>
      </c>
      <c r="S38" s="33">
        <f>IFERROR(Operations!S37/Debt!S36," ")</f>
        <v>1.4299812989373051</v>
      </c>
      <c r="T38" s="33">
        <f>IFERROR(Operations!T37/Debt!T36," ")</f>
        <v>1.4528249551916468</v>
      </c>
      <c r="U38" s="33">
        <f>IFERROR(Operations!U37/Debt!U36," ")</f>
        <v>1.4251360946232792</v>
      </c>
      <c r="V38" s="33">
        <f>IFERROR(Operations!V37/Debt!V36," ")</f>
        <v>1.4474579728850399</v>
      </c>
      <c r="W38" s="33">
        <f>IFERROR(Operations!W37/Debt!W36," ")</f>
        <v>1.4199584477211522</v>
      </c>
      <c r="X38" s="33">
        <f>IFERROR(Operations!X37/Debt!X36," ")</f>
        <v>1.4417139966960553</v>
      </c>
      <c r="Y38" s="33">
        <f>IFERROR(Operations!Y37/Debt!Y36," ")</f>
        <v>1.4144263223063198</v>
      </c>
      <c r="Z38" s="33">
        <f>IFERROR(Operations!Z37/Debt!Z36," ")</f>
        <v>1.4355673823363266</v>
      </c>
      <c r="AA38" s="33">
        <f>IFERROR(Operations!AA37/Debt!AA36," ")</f>
        <v>1.4085160807975452</v>
      </c>
      <c r="AB38" s="33">
        <f>IFERROR(Operations!AB37/Debt!AB36," ")</f>
        <v>1.428990562670835</v>
      </c>
      <c r="AC38" s="33">
        <f>IFERROR(Operations!AC37/Debt!AC36," ")</f>
        <v>1.4022023525649774</v>
      </c>
      <c r="AD38" s="33">
        <f>IFERROR(Operations!AD37/Debt!AD36," ")</f>
        <v>1.4219538838789554</v>
      </c>
      <c r="AE38" s="33">
        <f>IFERROR(Operations!AE37/Debt!AE36," ")</f>
        <v>1.3954578901644681</v>
      </c>
      <c r="AF38" s="33">
        <f>IFERROR(Operations!AF37/Debt!AF36," ")</f>
        <v>1.4144254254901443</v>
      </c>
      <c r="AG38" s="33">
        <f>IFERROR(Operations!AG37/Debt!AG36," ")</f>
        <v>1.3882534118523655</v>
      </c>
      <c r="AH38" s="33">
        <f>IFERROR(Operations!AH37/Debt!AH36," ")</f>
        <v>1.4063708024534762</v>
      </c>
      <c r="AI38" s="33">
        <f>IFERROR(Operations!AI37/Debt!AI36," ")</f>
        <v>1.3805574288665474</v>
      </c>
      <c r="AJ38" s="33">
        <f>IFERROR(Operations!AJ37/Debt!AJ36," ")</f>
        <v>1.3977529471578596</v>
      </c>
      <c r="AK38" s="33">
        <f>IFERROR(Operations!AK37/Debt!AK36," ")</f>
        <v>1.3723360557670479</v>
      </c>
      <c r="AL38" s="33">
        <f>IFERROR(Operations!AL37/Debt!AL36," ")</f>
        <v>7.4445203397583537</v>
      </c>
      <c r="AM38" s="33" t="str">
        <f>IFERROR(Operations!AM37/Debt!AM36," ")</f>
        <v xml:space="preserve"> </v>
      </c>
      <c r="AN38" s="33" t="str">
        <f>IFERROR(Operations!AN37/Debt!AN36," ")</f>
        <v xml:space="preserve"> </v>
      </c>
      <c r="AO38" s="33" t="str">
        <f>IFERROR(Operations!AO37/Debt!AO36," ")</f>
        <v xml:space="preserve"> </v>
      </c>
      <c r="AP38" s="33" t="str">
        <f>IFERROR(Operations!AP37/Debt!AP36," ")</f>
        <v xml:space="preserve"> </v>
      </c>
      <c r="AQ38" s="33" t="str">
        <f>IFERROR(Operations!AQ37/Debt!AQ36," ")</f>
        <v xml:space="preserve"> </v>
      </c>
      <c r="AR38" s="33" t="str">
        <f>IFERROR(Operations!AR37/Debt!AR36," ")</f>
        <v xml:space="preserve"> </v>
      </c>
      <c r="AS38" s="33" t="str">
        <f>IFERROR(Operations!AS37/Debt!AS36," ")</f>
        <v xml:space="preserve"> </v>
      </c>
      <c r="AT38" s="33" t="str">
        <f>IFERROR(Operations!AT37/Debt!AT36," ")</f>
        <v xml:space="preserve"> </v>
      </c>
      <c r="AU38" s="33" t="str">
        <f>IFERROR(Operations!AU37/Debt!AU36," ")</f>
        <v xml:space="preserve"> </v>
      </c>
      <c r="AV38" s="33" t="str">
        <f>IFERROR(Operations!AV37/Debt!AV36," ")</f>
        <v xml:space="preserve"> </v>
      </c>
      <c r="AW38" s="33" t="str">
        <f>IFERROR(Operations!AW37/Debt!AW36," ")</f>
        <v xml:space="preserve"> </v>
      </c>
      <c r="AX38" s="33" t="str">
        <f>IFERROR(Operations!AX37/Debt!AX36," ")</f>
        <v xml:space="preserve"> </v>
      </c>
      <c r="AY38" s="33" t="str">
        <f>IFERROR(Operations!AY37/Debt!AY36," ")</f>
        <v xml:space="preserve"> </v>
      </c>
      <c r="AZ38" s="33" t="str">
        <f>IFERROR(Operations!AZ37/Debt!AZ36," ")</f>
        <v xml:space="preserve"> </v>
      </c>
      <c r="BA38" s="33" t="str">
        <f>IFERROR(Operations!BA37/Debt!BA36," ")</f>
        <v xml:space="preserve"> </v>
      </c>
      <c r="BB38" s="33" t="str">
        <f>IFERROR(Operations!BB37/Debt!BB36," ")</f>
        <v xml:space="preserve"> </v>
      </c>
      <c r="BC38" s="33" t="str">
        <f>IFERROR(Operations!BC37/Debt!BC36," ")</f>
        <v xml:space="preserve"> </v>
      </c>
      <c r="BD38" s="33" t="str">
        <f>IFERROR(Operations!BD37/Debt!BD36," ")</f>
        <v xml:space="preserve"> </v>
      </c>
    </row>
    <row r="39" spans="1:56" ht="15.75" customHeight="1" x14ac:dyDescent="0.2">
      <c r="A39" s="29"/>
      <c r="B39" s="61" t="s">
        <v>157</v>
      </c>
      <c r="C39" s="62">
        <f>MIN(E38:BD38)</f>
        <v>1.3723360557670479</v>
      </c>
      <c r="D39" s="29"/>
      <c r="E39" s="29"/>
      <c r="F39" s="29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</row>
    <row r="40" spans="1:56" ht="15.75" customHeight="1" x14ac:dyDescent="0.2">
      <c r="A40" s="29"/>
      <c r="B40" s="61" t="s">
        <v>158</v>
      </c>
      <c r="C40" s="62">
        <f>AVERAGE(E38:BD38)</f>
        <v>1.6189126698922716</v>
      </c>
      <c r="D40" s="29"/>
      <c r="E40" s="29"/>
      <c r="F40" s="29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</row>
    <row r="41" spans="1:56" ht="15.75" customHeight="1" x14ac:dyDescent="0.2">
      <c r="A41" s="29"/>
      <c r="B41" s="30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</row>
    <row r="42" spans="1:56" ht="15.75" customHeight="1" x14ac:dyDescent="0.2">
      <c r="A42" s="29"/>
      <c r="B42" s="27" t="s">
        <v>159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</row>
    <row r="43" spans="1:56" ht="15.75" customHeight="1" x14ac:dyDescent="0.2">
      <c r="A43" s="29"/>
      <c r="B43" s="30" t="s">
        <v>160</v>
      </c>
      <c r="C43" s="29"/>
      <c r="D43" s="33"/>
      <c r="E43" s="33">
        <f t="shared" ref="E43:AJ43" si="12">IFERROR(F36,0)</f>
        <v>0</v>
      </c>
      <c r="F43" s="33">
        <f t="shared" si="12"/>
        <v>1.5667821806451612</v>
      </c>
      <c r="G43" s="33">
        <f t="shared" si="12"/>
        <v>1.4260123354838712</v>
      </c>
      <c r="H43" s="33">
        <f t="shared" si="12"/>
        <v>1.5523676245806448</v>
      </c>
      <c r="I43" s="33">
        <f t="shared" si="12"/>
        <v>1.4123016286451613</v>
      </c>
      <c r="J43" s="33">
        <f t="shared" si="12"/>
        <v>1.5378935283932256</v>
      </c>
      <c r="K43" s="33">
        <f t="shared" si="12"/>
        <v>1.3985278624374191</v>
      </c>
      <c r="L43" s="33">
        <f t="shared" si="12"/>
        <v>1.5233575575254528</v>
      </c>
      <c r="M43" s="33">
        <f t="shared" si="12"/>
        <v>1.3846887198994255</v>
      </c>
      <c r="N43" s="33">
        <f t="shared" si="12"/>
        <v>1.5087573364475038</v>
      </c>
      <c r="O43" s="33">
        <f t="shared" si="12"/>
        <v>1.3707818430096059</v>
      </c>
      <c r="P43" s="33">
        <f t="shared" si="12"/>
        <v>1.4940904478091372</v>
      </c>
      <c r="Q43" s="33">
        <f t="shared" si="12"/>
        <v>1.3568048318384289</v>
      </c>
      <c r="R43" s="33">
        <f t="shared" si="12"/>
        <v>1.4793544315748395</v>
      </c>
      <c r="S43" s="33">
        <f t="shared" si="12"/>
        <v>1.3427552436839856</v>
      </c>
      <c r="T43" s="33">
        <f t="shared" si="12"/>
        <v>1.4645467841418087</v>
      </c>
      <c r="U43" s="33">
        <f t="shared" si="12"/>
        <v>1.3286305921904085</v>
      </c>
      <c r="V43" s="33">
        <f t="shared" si="12"/>
        <v>1.4496649574404403</v>
      </c>
      <c r="W43" s="33">
        <f t="shared" si="12"/>
        <v>1.3144283464487967</v>
      </c>
      <c r="X43" s="33">
        <f t="shared" si="12"/>
        <v>1.434706358016965</v>
      </c>
      <c r="Y43" s="33">
        <f t="shared" si="12"/>
        <v>1.3001459300802798</v>
      </c>
      <c r="Z43" s="33">
        <f t="shared" si="12"/>
        <v>1.4196683460978814</v>
      </c>
      <c r="AA43" s="33">
        <f t="shared" si="12"/>
        <v>1.2857807203008802</v>
      </c>
      <c r="AB43" s="33">
        <f t="shared" si="12"/>
        <v>1.4045482346358138</v>
      </c>
      <c r="AC43" s="33">
        <f t="shared" si="12"/>
        <v>1.2713300469677975</v>
      </c>
      <c r="AD43" s="33">
        <f t="shared" si="12"/>
        <v>1.389343288336425</v>
      </c>
      <c r="AE43" s="33">
        <f t="shared" si="12"/>
        <v>1.2567911916067487</v>
      </c>
      <c r="AF43" s="33">
        <f t="shared" si="12"/>
        <v>1.3740507226660084</v>
      </c>
      <c r="AG43" s="33">
        <f t="shared" si="12"/>
        <v>1.2421613864199803</v>
      </c>
      <c r="AH43" s="33">
        <f t="shared" si="12"/>
        <v>1.3586677028393703</v>
      </c>
      <c r="AI43" s="33">
        <f t="shared" si="12"/>
        <v>1.227437813274572</v>
      </c>
      <c r="AJ43" s="33">
        <f t="shared" si="12"/>
        <v>1.3431913427875981</v>
      </c>
      <c r="AK43" s="33">
        <f t="shared" ref="AK43:BD43" si="13">IFERROR(AL36,0)</f>
        <v>0.2261741669608951</v>
      </c>
      <c r="AL43" s="33">
        <f t="shared" si="13"/>
        <v>0</v>
      </c>
      <c r="AM43" s="33">
        <f t="shared" si="13"/>
        <v>0</v>
      </c>
      <c r="AN43" s="33">
        <f t="shared" si="13"/>
        <v>0</v>
      </c>
      <c r="AO43" s="33">
        <f t="shared" si="13"/>
        <v>0</v>
      </c>
      <c r="AP43" s="33">
        <f t="shared" si="13"/>
        <v>0</v>
      </c>
      <c r="AQ43" s="33">
        <f t="shared" si="13"/>
        <v>0</v>
      </c>
      <c r="AR43" s="33">
        <f t="shared" si="13"/>
        <v>0</v>
      </c>
      <c r="AS43" s="33">
        <f t="shared" si="13"/>
        <v>0</v>
      </c>
      <c r="AT43" s="33">
        <f t="shared" si="13"/>
        <v>0</v>
      </c>
      <c r="AU43" s="33">
        <f t="shared" si="13"/>
        <v>0</v>
      </c>
      <c r="AV43" s="33">
        <f t="shared" si="13"/>
        <v>0</v>
      </c>
      <c r="AW43" s="33">
        <f t="shared" si="13"/>
        <v>0</v>
      </c>
      <c r="AX43" s="33">
        <f t="shared" si="13"/>
        <v>0</v>
      </c>
      <c r="AY43" s="33">
        <f t="shared" si="13"/>
        <v>0</v>
      </c>
      <c r="AZ43" s="33">
        <f t="shared" si="13"/>
        <v>0</v>
      </c>
      <c r="BA43" s="33">
        <f t="shared" si="13"/>
        <v>0</v>
      </c>
      <c r="BB43" s="33">
        <f t="shared" si="13"/>
        <v>0</v>
      </c>
      <c r="BC43" s="33">
        <f t="shared" si="13"/>
        <v>0</v>
      </c>
      <c r="BD43" s="33">
        <f t="shared" si="13"/>
        <v>0</v>
      </c>
    </row>
    <row r="44" spans="1:56" ht="15.75" customHeight="1" x14ac:dyDescent="0.2">
      <c r="A44" s="29"/>
      <c r="B44" s="30" t="s">
        <v>161</v>
      </c>
      <c r="C44" s="29"/>
      <c r="D44" s="29"/>
      <c r="E44" s="33">
        <f t="shared" ref="E44:AJ44" si="14">D46</f>
        <v>1.57</v>
      </c>
      <c r="F44" s="33">
        <f t="shared" si="14"/>
        <v>0</v>
      </c>
      <c r="G44" s="33">
        <f t="shared" si="14"/>
        <v>1.5667821806451612</v>
      </c>
      <c r="H44" s="33">
        <f t="shared" si="14"/>
        <v>1.4260123354838712</v>
      </c>
      <c r="I44" s="33">
        <f t="shared" si="14"/>
        <v>1.5523676245806448</v>
      </c>
      <c r="J44" s="33">
        <f t="shared" si="14"/>
        <v>1.4123016286451613</v>
      </c>
      <c r="K44" s="33">
        <f t="shared" si="14"/>
        <v>1.5378935283932256</v>
      </c>
      <c r="L44" s="33">
        <f t="shared" si="14"/>
        <v>1.3985278624374191</v>
      </c>
      <c r="M44" s="33">
        <f t="shared" si="14"/>
        <v>1.5233575575254528</v>
      </c>
      <c r="N44" s="33">
        <f t="shared" si="14"/>
        <v>1.3846887198994255</v>
      </c>
      <c r="O44" s="33">
        <f t="shared" si="14"/>
        <v>1.5087573364475038</v>
      </c>
      <c r="P44" s="33">
        <f t="shared" si="14"/>
        <v>1.3707818430096059</v>
      </c>
      <c r="Q44" s="33">
        <f t="shared" si="14"/>
        <v>1.4940904478091372</v>
      </c>
      <c r="R44" s="33">
        <f t="shared" si="14"/>
        <v>1.3568048318384289</v>
      </c>
      <c r="S44" s="33">
        <f t="shared" si="14"/>
        <v>1.4793544315748395</v>
      </c>
      <c r="T44" s="33">
        <f t="shared" si="14"/>
        <v>1.3427552436839856</v>
      </c>
      <c r="U44" s="33">
        <f t="shared" si="14"/>
        <v>1.4645467841418087</v>
      </c>
      <c r="V44" s="33">
        <f t="shared" si="14"/>
        <v>1.3286305921904085</v>
      </c>
      <c r="W44" s="33">
        <f t="shared" si="14"/>
        <v>1.4496649574404403</v>
      </c>
      <c r="X44" s="33">
        <f t="shared" si="14"/>
        <v>1.3144283464487967</v>
      </c>
      <c r="Y44" s="33">
        <f t="shared" si="14"/>
        <v>1.434706358016965</v>
      </c>
      <c r="Z44" s="33">
        <f t="shared" si="14"/>
        <v>1.3001459300802798</v>
      </c>
      <c r="AA44" s="33">
        <f t="shared" si="14"/>
        <v>1.4196683460978814</v>
      </c>
      <c r="AB44" s="33">
        <f t="shared" si="14"/>
        <v>1.2857807203008802</v>
      </c>
      <c r="AC44" s="33">
        <f t="shared" si="14"/>
        <v>1.4045482346358138</v>
      </c>
      <c r="AD44" s="33">
        <f t="shared" si="14"/>
        <v>1.2713300469677975</v>
      </c>
      <c r="AE44" s="33">
        <f t="shared" si="14"/>
        <v>1.389343288336425</v>
      </c>
      <c r="AF44" s="33">
        <f t="shared" si="14"/>
        <v>1.2567911916067487</v>
      </c>
      <c r="AG44" s="33">
        <f t="shared" si="14"/>
        <v>1.3740507226660084</v>
      </c>
      <c r="AH44" s="33">
        <f t="shared" si="14"/>
        <v>1.2421613864199803</v>
      </c>
      <c r="AI44" s="33">
        <f t="shared" si="14"/>
        <v>1.3586677028393703</v>
      </c>
      <c r="AJ44" s="33">
        <f t="shared" si="14"/>
        <v>1.227437813274572</v>
      </c>
      <c r="AK44" s="33">
        <f t="shared" ref="AK44:BD44" si="15">AJ46</f>
        <v>1.3431913427875981</v>
      </c>
      <c r="AL44" s="33">
        <f t="shared" si="15"/>
        <v>0.2261741669608951</v>
      </c>
      <c r="AM44" s="33">
        <f t="shared" si="15"/>
        <v>0</v>
      </c>
      <c r="AN44" s="33">
        <f t="shared" si="15"/>
        <v>0</v>
      </c>
      <c r="AO44" s="33">
        <f t="shared" si="15"/>
        <v>0</v>
      </c>
      <c r="AP44" s="33">
        <f t="shared" si="15"/>
        <v>0</v>
      </c>
      <c r="AQ44" s="33">
        <f t="shared" si="15"/>
        <v>0</v>
      </c>
      <c r="AR44" s="33">
        <f t="shared" si="15"/>
        <v>0</v>
      </c>
      <c r="AS44" s="33">
        <f t="shared" si="15"/>
        <v>0</v>
      </c>
      <c r="AT44" s="33">
        <f t="shared" si="15"/>
        <v>0</v>
      </c>
      <c r="AU44" s="33">
        <f t="shared" si="15"/>
        <v>0</v>
      </c>
      <c r="AV44" s="33">
        <f t="shared" si="15"/>
        <v>0</v>
      </c>
      <c r="AW44" s="33">
        <f t="shared" si="15"/>
        <v>0</v>
      </c>
      <c r="AX44" s="33">
        <f t="shared" si="15"/>
        <v>0</v>
      </c>
      <c r="AY44" s="33">
        <f t="shared" si="15"/>
        <v>0</v>
      </c>
      <c r="AZ44" s="33">
        <f t="shared" si="15"/>
        <v>0</v>
      </c>
      <c r="BA44" s="33">
        <f t="shared" si="15"/>
        <v>0</v>
      </c>
      <c r="BB44" s="33">
        <f t="shared" si="15"/>
        <v>0</v>
      </c>
      <c r="BC44" s="33">
        <f t="shared" si="15"/>
        <v>0</v>
      </c>
      <c r="BD44" s="33">
        <f t="shared" si="15"/>
        <v>0</v>
      </c>
    </row>
    <row r="45" spans="1:56" ht="15.75" customHeight="1" x14ac:dyDescent="0.2">
      <c r="A45" s="29"/>
      <c r="B45" s="30" t="s">
        <v>162</v>
      </c>
      <c r="C45" s="29"/>
      <c r="D45" s="29"/>
      <c r="E45" s="33">
        <f t="shared" ref="E45:AJ45" si="16">E43-E44</f>
        <v>-1.57</v>
      </c>
      <c r="F45" s="33">
        <f t="shared" si="16"/>
        <v>1.5667821806451612</v>
      </c>
      <c r="G45" s="33">
        <f t="shared" si="16"/>
        <v>-0.14076984516128999</v>
      </c>
      <c r="H45" s="33">
        <f t="shared" si="16"/>
        <v>0.12635528909677363</v>
      </c>
      <c r="I45" s="33">
        <f t="shared" si="16"/>
        <v>-0.14006599593548352</v>
      </c>
      <c r="J45" s="33">
        <f t="shared" si="16"/>
        <v>0.12559189974806428</v>
      </c>
      <c r="K45" s="33">
        <f t="shared" si="16"/>
        <v>-0.13936566595580646</v>
      </c>
      <c r="L45" s="33">
        <f t="shared" si="16"/>
        <v>0.12482969508803365</v>
      </c>
      <c r="M45" s="33">
        <f t="shared" si="16"/>
        <v>-0.13866883762602722</v>
      </c>
      <c r="N45" s="33">
        <f t="shared" si="16"/>
        <v>0.12406861654807821</v>
      </c>
      <c r="O45" s="33">
        <f t="shared" si="16"/>
        <v>-0.13797549343789783</v>
      </c>
      <c r="P45" s="33">
        <f t="shared" si="16"/>
        <v>0.12330860479953132</v>
      </c>
      <c r="Q45" s="33">
        <f t="shared" si="16"/>
        <v>-0.13728561597070832</v>
      </c>
      <c r="R45" s="33">
        <f t="shared" si="16"/>
        <v>0.12254959973641055</v>
      </c>
      <c r="S45" s="33">
        <f t="shared" si="16"/>
        <v>-0.1365991878908539</v>
      </c>
      <c r="T45" s="33">
        <f t="shared" si="16"/>
        <v>0.12179154045782314</v>
      </c>
      <c r="U45" s="33">
        <f t="shared" si="16"/>
        <v>-0.13591619195140026</v>
      </c>
      <c r="V45" s="33">
        <f t="shared" si="16"/>
        <v>0.12103436525003186</v>
      </c>
      <c r="W45" s="33">
        <f t="shared" si="16"/>
        <v>-0.13523661099164364</v>
      </c>
      <c r="X45" s="33">
        <f t="shared" si="16"/>
        <v>0.12027801156816831</v>
      </c>
      <c r="Y45" s="33">
        <f t="shared" si="16"/>
        <v>-0.13456042793668521</v>
      </c>
      <c r="Z45" s="33">
        <f t="shared" si="16"/>
        <v>0.11952241601760161</v>
      </c>
      <c r="AA45" s="33">
        <f t="shared" si="16"/>
        <v>-0.1338876257970012</v>
      </c>
      <c r="AB45" s="33">
        <f t="shared" si="16"/>
        <v>0.1187675143349336</v>
      </c>
      <c r="AC45" s="33">
        <f t="shared" si="16"/>
        <v>-0.1332181876680163</v>
      </c>
      <c r="AD45" s="33">
        <f t="shared" si="16"/>
        <v>0.11801324136862745</v>
      </c>
      <c r="AE45" s="33">
        <f t="shared" si="16"/>
        <v>-0.13255209672967627</v>
      </c>
      <c r="AF45" s="33">
        <f t="shared" si="16"/>
        <v>0.11725953105925968</v>
      </c>
      <c r="AG45" s="33">
        <f t="shared" si="16"/>
        <v>-0.13188933624602805</v>
      </c>
      <c r="AH45" s="33">
        <f t="shared" si="16"/>
        <v>0.11650631641939002</v>
      </c>
      <c r="AI45" s="33">
        <f t="shared" si="16"/>
        <v>-0.13122988956479831</v>
      </c>
      <c r="AJ45" s="33">
        <f t="shared" si="16"/>
        <v>0.11575352951302609</v>
      </c>
      <c r="AK45" s="33">
        <f t="shared" ref="AK45:BD45" si="17">AK43-AK44</f>
        <v>-1.1170171758267031</v>
      </c>
      <c r="AL45" s="33">
        <f t="shared" si="17"/>
        <v>-0.2261741669608951</v>
      </c>
      <c r="AM45" s="33">
        <f t="shared" si="17"/>
        <v>0</v>
      </c>
      <c r="AN45" s="33">
        <f t="shared" si="17"/>
        <v>0</v>
      </c>
      <c r="AO45" s="33">
        <f t="shared" si="17"/>
        <v>0</v>
      </c>
      <c r="AP45" s="33">
        <f t="shared" si="17"/>
        <v>0</v>
      </c>
      <c r="AQ45" s="33">
        <f t="shared" si="17"/>
        <v>0</v>
      </c>
      <c r="AR45" s="33">
        <f t="shared" si="17"/>
        <v>0</v>
      </c>
      <c r="AS45" s="33">
        <f t="shared" si="17"/>
        <v>0</v>
      </c>
      <c r="AT45" s="33">
        <f t="shared" si="17"/>
        <v>0</v>
      </c>
      <c r="AU45" s="33">
        <f t="shared" si="17"/>
        <v>0</v>
      </c>
      <c r="AV45" s="33">
        <f t="shared" si="17"/>
        <v>0</v>
      </c>
      <c r="AW45" s="33">
        <f t="shared" si="17"/>
        <v>0</v>
      </c>
      <c r="AX45" s="33">
        <f t="shared" si="17"/>
        <v>0</v>
      </c>
      <c r="AY45" s="33">
        <f t="shared" si="17"/>
        <v>0</v>
      </c>
      <c r="AZ45" s="33">
        <f t="shared" si="17"/>
        <v>0</v>
      </c>
      <c r="BA45" s="33">
        <f t="shared" si="17"/>
        <v>0</v>
      </c>
      <c r="BB45" s="33">
        <f t="shared" si="17"/>
        <v>0</v>
      </c>
      <c r="BC45" s="33">
        <f t="shared" si="17"/>
        <v>0</v>
      </c>
      <c r="BD45" s="33">
        <f t="shared" si="17"/>
        <v>0</v>
      </c>
    </row>
    <row r="46" spans="1:56" ht="15.75" customHeight="1" x14ac:dyDescent="0.2">
      <c r="A46" s="29"/>
      <c r="B46" s="30" t="s">
        <v>163</v>
      </c>
      <c r="C46" s="29"/>
      <c r="D46" s="37">
        <f>Construction!C34</f>
        <v>1.57</v>
      </c>
      <c r="E46" s="33">
        <f t="shared" ref="E46:AJ46" si="18">E43</f>
        <v>0</v>
      </c>
      <c r="F46" s="33">
        <f t="shared" si="18"/>
        <v>1.5667821806451612</v>
      </c>
      <c r="G46" s="33">
        <f t="shared" si="18"/>
        <v>1.4260123354838712</v>
      </c>
      <c r="H46" s="33">
        <f t="shared" si="18"/>
        <v>1.5523676245806448</v>
      </c>
      <c r="I46" s="33">
        <f t="shared" si="18"/>
        <v>1.4123016286451613</v>
      </c>
      <c r="J46" s="33">
        <f t="shared" si="18"/>
        <v>1.5378935283932256</v>
      </c>
      <c r="K46" s="33">
        <f t="shared" si="18"/>
        <v>1.3985278624374191</v>
      </c>
      <c r="L46" s="33">
        <f t="shared" si="18"/>
        <v>1.5233575575254528</v>
      </c>
      <c r="M46" s="33">
        <f t="shared" si="18"/>
        <v>1.3846887198994255</v>
      </c>
      <c r="N46" s="33">
        <f t="shared" si="18"/>
        <v>1.5087573364475038</v>
      </c>
      <c r="O46" s="33">
        <f t="shared" si="18"/>
        <v>1.3707818430096059</v>
      </c>
      <c r="P46" s="33">
        <f t="shared" si="18"/>
        <v>1.4940904478091372</v>
      </c>
      <c r="Q46" s="33">
        <f t="shared" si="18"/>
        <v>1.3568048318384289</v>
      </c>
      <c r="R46" s="33">
        <f t="shared" si="18"/>
        <v>1.4793544315748395</v>
      </c>
      <c r="S46" s="33">
        <f t="shared" si="18"/>
        <v>1.3427552436839856</v>
      </c>
      <c r="T46" s="33">
        <f t="shared" si="18"/>
        <v>1.4645467841418087</v>
      </c>
      <c r="U46" s="33">
        <f t="shared" si="18"/>
        <v>1.3286305921904085</v>
      </c>
      <c r="V46" s="33">
        <f t="shared" si="18"/>
        <v>1.4496649574404403</v>
      </c>
      <c r="W46" s="33">
        <f t="shared" si="18"/>
        <v>1.3144283464487967</v>
      </c>
      <c r="X46" s="33">
        <f t="shared" si="18"/>
        <v>1.434706358016965</v>
      </c>
      <c r="Y46" s="33">
        <f t="shared" si="18"/>
        <v>1.3001459300802798</v>
      </c>
      <c r="Z46" s="33">
        <f t="shared" si="18"/>
        <v>1.4196683460978814</v>
      </c>
      <c r="AA46" s="33">
        <f t="shared" si="18"/>
        <v>1.2857807203008802</v>
      </c>
      <c r="AB46" s="33">
        <f t="shared" si="18"/>
        <v>1.4045482346358138</v>
      </c>
      <c r="AC46" s="33">
        <f t="shared" si="18"/>
        <v>1.2713300469677975</v>
      </c>
      <c r="AD46" s="33">
        <f t="shared" si="18"/>
        <v>1.389343288336425</v>
      </c>
      <c r="AE46" s="33">
        <f t="shared" si="18"/>
        <v>1.2567911916067487</v>
      </c>
      <c r="AF46" s="33">
        <f t="shared" si="18"/>
        <v>1.3740507226660084</v>
      </c>
      <c r="AG46" s="33">
        <f t="shared" si="18"/>
        <v>1.2421613864199803</v>
      </c>
      <c r="AH46" s="33">
        <f t="shared" si="18"/>
        <v>1.3586677028393703</v>
      </c>
      <c r="AI46" s="33">
        <f t="shared" si="18"/>
        <v>1.227437813274572</v>
      </c>
      <c r="AJ46" s="33">
        <f t="shared" si="18"/>
        <v>1.3431913427875981</v>
      </c>
      <c r="AK46" s="33">
        <f t="shared" ref="AK46:BD46" si="19">AK43</f>
        <v>0.2261741669608951</v>
      </c>
      <c r="AL46" s="33">
        <f t="shared" si="19"/>
        <v>0</v>
      </c>
      <c r="AM46" s="33">
        <f t="shared" si="19"/>
        <v>0</v>
      </c>
      <c r="AN46" s="33">
        <f t="shared" si="19"/>
        <v>0</v>
      </c>
      <c r="AO46" s="33">
        <f t="shared" si="19"/>
        <v>0</v>
      </c>
      <c r="AP46" s="33">
        <f t="shared" si="19"/>
        <v>0</v>
      </c>
      <c r="AQ46" s="33">
        <f t="shared" si="19"/>
        <v>0</v>
      </c>
      <c r="AR46" s="33">
        <f t="shared" si="19"/>
        <v>0</v>
      </c>
      <c r="AS46" s="33">
        <f t="shared" si="19"/>
        <v>0</v>
      </c>
      <c r="AT46" s="33">
        <f t="shared" si="19"/>
        <v>0</v>
      </c>
      <c r="AU46" s="33">
        <f t="shared" si="19"/>
        <v>0</v>
      </c>
      <c r="AV46" s="33">
        <f t="shared" si="19"/>
        <v>0</v>
      </c>
      <c r="AW46" s="33">
        <f t="shared" si="19"/>
        <v>0</v>
      </c>
      <c r="AX46" s="33">
        <f t="shared" si="19"/>
        <v>0</v>
      </c>
      <c r="AY46" s="33">
        <f t="shared" si="19"/>
        <v>0</v>
      </c>
      <c r="AZ46" s="33">
        <f t="shared" si="19"/>
        <v>0</v>
      </c>
      <c r="BA46" s="33">
        <f t="shared" si="19"/>
        <v>0</v>
      </c>
      <c r="BB46" s="33">
        <f t="shared" si="19"/>
        <v>0</v>
      </c>
      <c r="BC46" s="33">
        <f t="shared" si="19"/>
        <v>0</v>
      </c>
      <c r="BD46" s="33">
        <f t="shared" si="19"/>
        <v>0</v>
      </c>
    </row>
  </sheetData>
  <pageMargins left="0.7" right="0.7" top="0.75" bottom="0.75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BD45"/>
  <sheetViews>
    <sheetView showGridLines="0" zoomScale="120" zoomScaleNormal="120" workbookViewId="0">
      <pane xSplit="4" ySplit="5" topLeftCell="E19" activePane="bottomRight" state="frozen"/>
      <selection pane="topRight" activeCell="E1" sqref="E1"/>
      <selection pane="bottomLeft" activeCell="A25" sqref="A25"/>
      <selection pane="bottomRight" activeCell="C45" sqref="C45"/>
    </sheetView>
  </sheetViews>
  <sheetFormatPr baseColWidth="10" defaultColWidth="10.5" defaultRowHeight="16" x14ac:dyDescent="0.2"/>
  <cols>
    <col min="1" max="1" width="3" customWidth="1"/>
    <col min="2" max="2" width="40" customWidth="1"/>
    <col min="3" max="3" width="12" customWidth="1"/>
    <col min="4" max="4" width="11" customWidth="1"/>
    <col min="5" max="56" width="9.5" customWidth="1"/>
  </cols>
  <sheetData>
    <row r="2" spans="1:56" ht="17.25" customHeight="1" x14ac:dyDescent="0.25">
      <c r="B2" s="16" t="s">
        <v>164</v>
      </c>
    </row>
    <row r="5" spans="1:56" ht="15.75" customHeight="1" x14ac:dyDescent="0.2">
      <c r="A5" s="26"/>
      <c r="B5" s="27" t="s">
        <v>77</v>
      </c>
      <c r="C5" s="28"/>
      <c r="D5" s="28"/>
      <c r="E5" s="28">
        <v>1</v>
      </c>
      <c r="F5" s="28">
        <f t="shared" ref="F5:AK5" si="0">E5+1</f>
        <v>2</v>
      </c>
      <c r="G5" s="28">
        <f t="shared" si="0"/>
        <v>3</v>
      </c>
      <c r="H5" s="28">
        <f t="shared" si="0"/>
        <v>4</v>
      </c>
      <c r="I5" s="28">
        <f t="shared" si="0"/>
        <v>5</v>
      </c>
      <c r="J5" s="28">
        <f t="shared" si="0"/>
        <v>6</v>
      </c>
      <c r="K5" s="28">
        <f t="shared" si="0"/>
        <v>7</v>
      </c>
      <c r="L5" s="28">
        <f t="shared" si="0"/>
        <v>8</v>
      </c>
      <c r="M5" s="28">
        <f t="shared" si="0"/>
        <v>9</v>
      </c>
      <c r="N5" s="28">
        <f t="shared" si="0"/>
        <v>10</v>
      </c>
      <c r="O5" s="28">
        <f t="shared" si="0"/>
        <v>11</v>
      </c>
      <c r="P5" s="28">
        <f t="shared" si="0"/>
        <v>12</v>
      </c>
      <c r="Q5" s="28">
        <f t="shared" si="0"/>
        <v>13</v>
      </c>
      <c r="R5" s="28">
        <f t="shared" si="0"/>
        <v>14</v>
      </c>
      <c r="S5" s="28">
        <f t="shared" si="0"/>
        <v>15</v>
      </c>
      <c r="T5" s="28">
        <f t="shared" si="0"/>
        <v>16</v>
      </c>
      <c r="U5" s="28">
        <f t="shared" si="0"/>
        <v>17</v>
      </c>
      <c r="V5" s="28">
        <f t="shared" si="0"/>
        <v>18</v>
      </c>
      <c r="W5" s="28">
        <f t="shared" si="0"/>
        <v>19</v>
      </c>
      <c r="X5" s="28">
        <f t="shared" si="0"/>
        <v>20</v>
      </c>
      <c r="Y5" s="28">
        <f t="shared" si="0"/>
        <v>21</v>
      </c>
      <c r="Z5" s="28">
        <f t="shared" si="0"/>
        <v>22</v>
      </c>
      <c r="AA5" s="28">
        <f t="shared" si="0"/>
        <v>23</v>
      </c>
      <c r="AB5" s="28">
        <f t="shared" si="0"/>
        <v>24</v>
      </c>
      <c r="AC5" s="28">
        <f t="shared" si="0"/>
        <v>25</v>
      </c>
      <c r="AD5" s="28">
        <f t="shared" si="0"/>
        <v>26</v>
      </c>
      <c r="AE5" s="28">
        <f t="shared" si="0"/>
        <v>27</v>
      </c>
      <c r="AF5" s="28">
        <f t="shared" si="0"/>
        <v>28</v>
      </c>
      <c r="AG5" s="28">
        <f t="shared" si="0"/>
        <v>29</v>
      </c>
      <c r="AH5" s="28">
        <f t="shared" si="0"/>
        <v>30</v>
      </c>
      <c r="AI5" s="28">
        <f t="shared" si="0"/>
        <v>31</v>
      </c>
      <c r="AJ5" s="28">
        <f t="shared" si="0"/>
        <v>32</v>
      </c>
      <c r="AK5" s="28">
        <f t="shared" si="0"/>
        <v>33</v>
      </c>
      <c r="AL5" s="28">
        <f t="shared" ref="AL5:BD5" si="1">AK5+1</f>
        <v>34</v>
      </c>
      <c r="AM5" s="28">
        <f t="shared" si="1"/>
        <v>35</v>
      </c>
      <c r="AN5" s="28">
        <f t="shared" si="1"/>
        <v>36</v>
      </c>
      <c r="AO5" s="28">
        <f t="shared" si="1"/>
        <v>37</v>
      </c>
      <c r="AP5" s="28">
        <f t="shared" si="1"/>
        <v>38</v>
      </c>
      <c r="AQ5" s="28">
        <f t="shared" si="1"/>
        <v>39</v>
      </c>
      <c r="AR5" s="28">
        <f t="shared" si="1"/>
        <v>40</v>
      </c>
      <c r="AS5" s="28">
        <f t="shared" si="1"/>
        <v>41</v>
      </c>
      <c r="AT5" s="28">
        <f t="shared" si="1"/>
        <v>42</v>
      </c>
      <c r="AU5" s="28">
        <f t="shared" si="1"/>
        <v>43</v>
      </c>
      <c r="AV5" s="28">
        <f t="shared" si="1"/>
        <v>44</v>
      </c>
      <c r="AW5" s="28">
        <f t="shared" si="1"/>
        <v>45</v>
      </c>
      <c r="AX5" s="28">
        <f t="shared" si="1"/>
        <v>46</v>
      </c>
      <c r="AY5" s="28">
        <f t="shared" si="1"/>
        <v>47</v>
      </c>
      <c r="AZ5" s="28">
        <f t="shared" si="1"/>
        <v>48</v>
      </c>
      <c r="BA5" s="28">
        <f t="shared" si="1"/>
        <v>49</v>
      </c>
      <c r="BB5" s="28">
        <f t="shared" si="1"/>
        <v>50</v>
      </c>
      <c r="BC5" s="28">
        <f t="shared" si="1"/>
        <v>51</v>
      </c>
      <c r="BD5" s="28">
        <f t="shared" si="1"/>
        <v>52</v>
      </c>
    </row>
    <row r="6" spans="1:56" ht="15.75" customHeight="1" x14ac:dyDescent="0.2">
      <c r="A6" s="29"/>
      <c r="B6" s="30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</row>
    <row r="7" spans="1:56" ht="15.75" customHeight="1" x14ac:dyDescent="0.2">
      <c r="A7" s="29"/>
      <c r="B7" s="27" t="s">
        <v>165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</row>
    <row r="8" spans="1:56" ht="15.75" customHeight="1" x14ac:dyDescent="0.2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</row>
    <row r="9" spans="1:56" ht="15.75" customHeight="1" x14ac:dyDescent="0.2">
      <c r="A9" s="29"/>
      <c r="B9" s="30" t="s">
        <v>166</v>
      </c>
      <c r="C9" s="29"/>
      <c r="D9" s="29"/>
      <c r="E9" s="33">
        <f>Operations!E37</f>
        <v>0</v>
      </c>
      <c r="F9" s="33">
        <f>Operations!F37</f>
        <v>0</v>
      </c>
      <c r="G9" s="33">
        <f>Operations!G37</f>
        <v>2.2767408782270988</v>
      </c>
      <c r="H9" s="33">
        <f>Operations!H37</f>
        <v>2.1081293944982686</v>
      </c>
      <c r="I9" s="33">
        <f>Operations!I37</f>
        <v>2.2507687450052725</v>
      </c>
      <c r="J9" s="33">
        <f>Operations!J37</f>
        <v>2.0828422111479008</v>
      </c>
      <c r="K9" s="33">
        <f>Operations!K37</f>
        <v>2.2244535023009391</v>
      </c>
      <c r="L9" s="33">
        <f>Operations!L37</f>
        <v>2.057201675726251</v>
      </c>
      <c r="M9" s="33">
        <f>Operations!M37</f>
        <v>2.1977800080589898</v>
      </c>
      <c r="N9" s="33">
        <f>Operations!N37</f>
        <v>2.0311923853271288</v>
      </c>
      <c r="O9" s="33">
        <f>Operations!O37</f>
        <v>2.1707325031950195</v>
      </c>
      <c r="P9" s="33">
        <f>Operations!P37</f>
        <v>2.0047983066328139</v>
      </c>
      <c r="Q9" s="33">
        <f>Operations!Q37</f>
        <v>2.1432945837346922</v>
      </c>
      <c r="R9" s="33">
        <f>Operations!R37</f>
        <v>1.9780027474207018</v>
      </c>
      <c r="S9" s="33">
        <f>Operations!S37</f>
        <v>2.1154491716520476</v>
      </c>
      <c r="T9" s="33">
        <f>Operations!T37</f>
        <v>1.9507883267385351</v>
      </c>
      <c r="U9" s="33">
        <f>Operations!U37</f>
        <v>2.0871784843449399</v>
      </c>
      <c r="V9" s="33">
        <f>Operations!V37</f>
        <v>1.9231369436849786</v>
      </c>
      <c r="W9" s="33">
        <f>Operations!W37</f>
        <v>2.0584640026828778</v>
      </c>
      <c r="X9" s="33">
        <f>Operations!X37</f>
        <v>1.8950297447292819</v>
      </c>
      <c r="Y9" s="33">
        <f>Operations!Y37</f>
        <v>2.0292864375594299</v>
      </c>
      <c r="Z9" s="33">
        <f>Operations!Z37</f>
        <v>1.866447089500576</v>
      </c>
      <c r="AA9" s="33">
        <f>Operations!AA37</f>
        <v>1.9996256948781208</v>
      </c>
      <c r="AB9" s="33">
        <f>Operations!AB37</f>
        <v>1.8373685149740664</v>
      </c>
      <c r="AC9" s="33">
        <f>Operations!AC37</f>
        <v>1.9694608388973238</v>
      </c>
      <c r="AD9" s="33">
        <f>Operations!AD37</f>
        <v>1.8077726979778743</v>
      </c>
      <c r="AE9" s="33">
        <f>Operations!AE37</f>
        <v>1.9387700538561117</v>
      </c>
      <c r="AF9" s="33">
        <f>Operations!AF37</f>
        <v>1.777637415940641</v>
      </c>
      <c r="AG9" s="33">
        <f>Operations!AG37</f>
        <v>1.9075306037992945</v>
      </c>
      <c r="AH9" s="33">
        <f>Operations!AH37</f>
        <v>1.7469395057961903</v>
      </c>
      <c r="AI9" s="33">
        <f>Operations!AI37</f>
        <v>1.8757187905159394</v>
      </c>
      <c r="AJ9" s="33">
        <f>Operations!AJ37</f>
        <v>1.7156548209575315</v>
      </c>
      <c r="AK9" s="33">
        <f>Operations!AK37</f>
        <v>1.843309909501577</v>
      </c>
      <c r="AL9" s="33">
        <f>Operations!AL37</f>
        <v>1.6837581862682853</v>
      </c>
      <c r="AM9" s="33">
        <f>Operations!AM37</f>
        <v>1.8161352117495488</v>
      </c>
      <c r="AN9" s="33">
        <f>Operations!AN37</f>
        <v>1.6651021987279966</v>
      </c>
      <c r="AO9" s="33">
        <f>Operations!AO37</f>
        <v>1.7979166173879935</v>
      </c>
      <c r="AP9" s="33">
        <f>Operations!AP37</f>
        <v>1.6476387694315489</v>
      </c>
      <c r="AQ9" s="33">
        <f>Operations!AQ37</f>
        <v>1.7795790797853674</v>
      </c>
      <c r="AR9" s="33">
        <f>Operations!AR37</f>
        <v>1.630052621068705</v>
      </c>
      <c r="AS9" s="33">
        <f>Operations!AS37</f>
        <v>1.7611189929336168</v>
      </c>
      <c r="AT9" s="33">
        <f>Operations!AT37</f>
        <v>1.6123401665105379</v>
      </c>
      <c r="AU9" s="33">
        <f>Operations!AU37</f>
        <v>0.8851099270589633</v>
      </c>
      <c r="AV9" s="33">
        <f>Operations!AV37</f>
        <v>0.78204763242601416</v>
      </c>
      <c r="AW9" s="33">
        <f>Operations!AW37</f>
        <v>0.86931687984443407</v>
      </c>
      <c r="AX9" s="33">
        <f>Operations!AX37</f>
        <v>0.76676989668464968</v>
      </c>
      <c r="AY9" s="33">
        <f>Operations!AY37</f>
        <v>0.8533754479143929</v>
      </c>
      <c r="AZ9" s="33">
        <f>Operations!AZ37</f>
        <v>0.75134119967040736</v>
      </c>
      <c r="BA9" s="33">
        <f>Operations!BA37</f>
        <v>0.83728182619338543</v>
      </c>
      <c r="BB9" s="33">
        <f>Operations!BB37</f>
        <v>0.73575774919061987</v>
      </c>
      <c r="BC9" s="33">
        <f>Operations!BC37</f>
        <v>0.82103213769135452</v>
      </c>
      <c r="BD9" s="33">
        <f>Operations!BD37</f>
        <v>0.72001568107360259</v>
      </c>
    </row>
    <row r="10" spans="1:56" ht="15.75" customHeight="1" x14ac:dyDescent="0.2">
      <c r="A10" s="29"/>
      <c r="B10" s="30" t="s">
        <v>167</v>
      </c>
      <c r="C10" s="29"/>
      <c r="D10" s="29"/>
      <c r="E10" s="63">
        <f>-Debt!E30</f>
        <v>0</v>
      </c>
      <c r="F10" s="63">
        <f>-Debt!F30</f>
        <v>0</v>
      </c>
      <c r="G10" s="63">
        <f>-Debt!G30</f>
        <v>-0.73031250000000003</v>
      </c>
      <c r="H10" s="63">
        <f>-Debt!H30</f>
        <v>-0.71044634508467741</v>
      </c>
      <c r="I10" s="63">
        <f>-Debt!I30</f>
        <v>-0.6934516528126965</v>
      </c>
      <c r="J10" s="63">
        <f>-Debt!J30</f>
        <v>-0.67305239848320775</v>
      </c>
      <c r="K10" s="63">
        <f>-Debt!K30</f>
        <v>-0.65549522926686132</v>
      </c>
      <c r="L10" s="63">
        <f>-Debt!L30</f>
        <v>-0.63453826966261018</v>
      </c>
      <c r="M10" s="63">
        <f>-Debt!M30</f>
        <v>-0.6163935168342084</v>
      </c>
      <c r="N10" s="63">
        <f>-Debt!N30</f>
        <v>-0.59485312086779141</v>
      </c>
      <c r="O10" s="63">
        <f>-Debt!O30</f>
        <v>-0.5760945253907902</v>
      </c>
      <c r="P10" s="63">
        <f>-Debt!P30</f>
        <v>-0.55394378362819319</v>
      </c>
      <c r="Q10" s="63">
        <f>-Debt!Q30</f>
        <v>-0.53454387971788464</v>
      </c>
      <c r="R10" s="63">
        <f>-Debt!R30</f>
        <v>-0.51175464872571741</v>
      </c>
      <c r="S10" s="63">
        <f>-Debt!S30</f>
        <v>-0.4916847068767905</v>
      </c>
      <c r="T10" s="63">
        <f>-Debt!T30</f>
        <v>-0.4682275509152119</v>
      </c>
      <c r="U10" s="63">
        <f>-Debt!U30</f>
        <v>-0.44745751821195356</v>
      </c>
      <c r="V10" s="63">
        <f>-Debt!V30</f>
        <v>-0.42330164814611948</v>
      </c>
      <c r="W10" s="63">
        <f>-Debt!W30</f>
        <v>-0.40180008572506765</v>
      </c>
      <c r="X10" s="63">
        <f>-Debt!X30</f>
        <v>-0.37691329502182752</v>
      </c>
      <c r="Y10" s="63">
        <f>-Debt!Y30</f>
        <v>-0.35464731255043702</v>
      </c>
      <c r="Z10" s="63">
        <f>-Debt!Z30</f>
        <v>-0.32899591022060698</v>
      </c>
      <c r="AA10" s="63">
        <f>-Debt!AA30</f>
        <v>-0.30593109724893974</v>
      </c>
      <c r="AB10" s="63">
        <f>-Debt!AB30</f>
        <v>-0.27947983758877737</v>
      </c>
      <c r="AC10" s="63">
        <f>-Debt!AC30</f>
        <v>-0.25558019162436496</v>
      </c>
      <c r="AD10" s="63">
        <f>-Debt!AD30</f>
        <v>-0.22829220060284305</v>
      </c>
      <c r="AE10" s="63">
        <f>-Debt!AE30</f>
        <v>-0.20352005175167537</v>
      </c>
      <c r="AF10" s="63">
        <f>-Debt!AF30</f>
        <v>-0.17535674988278757</v>
      </c>
      <c r="AG10" s="63">
        <f>-Debt!AG30</f>
        <v>-0.14967268189184349</v>
      </c>
      <c r="AH10" s="63">
        <f>-Debt!AH30</f>
        <v>-0.12059370342345707</v>
      </c>
      <c r="AI10" s="63">
        <f>-Debt!AI30</f>
        <v>-9.395647095228965E-2</v>
      </c>
      <c r="AJ10" s="63">
        <f>-Debt!AJ30</f>
        <v>-6.3919579194971474E-2</v>
      </c>
      <c r="AK10" s="63">
        <f>-Debt!AK30</f>
        <v>-3.6286021135580958E-2</v>
      </c>
      <c r="AL10" s="63">
        <f>-Debt!AL30</f>
        <v>-5.2470197463455517E-3</v>
      </c>
      <c r="AM10" s="63">
        <f>-Debt!AM30</f>
        <v>0</v>
      </c>
      <c r="AN10" s="63">
        <f>-Debt!AN30</f>
        <v>0</v>
      </c>
      <c r="AO10" s="63">
        <f>-Debt!AO30</f>
        <v>0</v>
      </c>
      <c r="AP10" s="63">
        <f>-Debt!AP30</f>
        <v>0</v>
      </c>
      <c r="AQ10" s="63">
        <f>-Debt!AQ30</f>
        <v>0</v>
      </c>
      <c r="AR10" s="63">
        <f>-Debt!AR30</f>
        <v>0</v>
      </c>
      <c r="AS10" s="63">
        <f>-Debt!AS30</f>
        <v>0</v>
      </c>
      <c r="AT10" s="63">
        <f>-Debt!AT30</f>
        <v>0</v>
      </c>
      <c r="AU10" s="63">
        <f>-Debt!AU30</f>
        <v>0</v>
      </c>
      <c r="AV10" s="63">
        <f>-Debt!AV30</f>
        <v>0</v>
      </c>
      <c r="AW10" s="63">
        <f>-Debt!AW30</f>
        <v>0</v>
      </c>
      <c r="AX10" s="63">
        <f>-Debt!AX30</f>
        <v>0</v>
      </c>
      <c r="AY10" s="63">
        <f>-Debt!AY30</f>
        <v>0</v>
      </c>
      <c r="AZ10" s="63">
        <f>-Debt!AZ30</f>
        <v>0</v>
      </c>
      <c r="BA10" s="63">
        <f>-Debt!BA30</f>
        <v>0</v>
      </c>
      <c r="BB10" s="63">
        <f>-Debt!BB30</f>
        <v>0</v>
      </c>
      <c r="BC10" s="63">
        <f>-Debt!BC30</f>
        <v>0</v>
      </c>
      <c r="BD10" s="63">
        <f>-Debt!BD30</f>
        <v>0</v>
      </c>
    </row>
    <row r="11" spans="1:56" ht="15.75" customHeight="1" x14ac:dyDescent="0.2">
      <c r="A11" s="29"/>
      <c r="B11" s="30" t="s">
        <v>168</v>
      </c>
      <c r="C11" s="29"/>
      <c r="D11" s="29"/>
      <c r="E11" s="63">
        <f>-Debt!E32</f>
        <v>0</v>
      </c>
      <c r="F11" s="63">
        <f>-Debt!F32</f>
        <v>0</v>
      </c>
      <c r="G11" s="63">
        <f>-Debt!G32</f>
        <v>-0.83646968064516114</v>
      </c>
      <c r="H11" s="63">
        <f>-Debt!H32</f>
        <v>-0.71556599039919377</v>
      </c>
      <c r="I11" s="63">
        <f>-Debt!I32</f>
        <v>-0.85891597176794832</v>
      </c>
      <c r="J11" s="63">
        <f>-Debt!J32</f>
        <v>-0.73924923016195354</v>
      </c>
      <c r="K11" s="63">
        <f>-Debt!K32</f>
        <v>-0.88239829912636425</v>
      </c>
      <c r="L11" s="63">
        <f>-Debt!L32</f>
        <v>-0.76398959277480893</v>
      </c>
      <c r="M11" s="63">
        <f>-Debt!M32</f>
        <v>-0.90696404069124437</v>
      </c>
      <c r="N11" s="63">
        <f>-Debt!N32</f>
        <v>-0.78983559903163414</v>
      </c>
      <c r="O11" s="63">
        <f>-Debt!O32</f>
        <v>-0.93266281105671356</v>
      </c>
      <c r="P11" s="63">
        <f>-Debt!P32</f>
        <v>-0.81683805938141274</v>
      </c>
      <c r="Q11" s="63">
        <f>-Debt!Q32</f>
        <v>-0.95954656809125261</v>
      </c>
      <c r="R11" s="63">
        <f>-Debt!R32</f>
        <v>-0.84505018311271152</v>
      </c>
      <c r="S11" s="63">
        <f>-Debt!S32</f>
        <v>-0.98766972469804903</v>
      </c>
      <c r="T11" s="63">
        <f>-Debt!T32</f>
        <v>-0.87452769276877373</v>
      </c>
      <c r="U11" s="63">
        <f>-Debt!U32</f>
        <v>-1.0170892659298552</v>
      </c>
      <c r="V11" s="63">
        <f>-Debt!V32</f>
        <v>-0.90532894404428899</v>
      </c>
      <c r="W11" s="63">
        <f>-Debt!W32</f>
        <v>-1.0478648717153727</v>
      </c>
      <c r="X11" s="63">
        <f>-Debt!X32</f>
        <v>-0.93751505142696923</v>
      </c>
      <c r="Y11" s="63">
        <f>-Debt!Y32</f>
        <v>-1.080059045466528</v>
      </c>
      <c r="Z11" s="63">
        <f>-Debt!Z32</f>
        <v>-0.97115001985967275</v>
      </c>
      <c r="AA11" s="63">
        <f>-Debt!AA32</f>
        <v>-1.1137372488489417</v>
      </c>
      <c r="AB11" s="63">
        <f>-Debt!AB32</f>
        <v>-1.0063008827121029</v>
      </c>
      <c r="AC11" s="63">
        <f>-Debt!AC32</f>
        <v>-1.1489680430114488</v>
      </c>
      <c r="AD11" s="63">
        <f>-Debt!AD32</f>
        <v>-1.0430378463649546</v>
      </c>
      <c r="AE11" s="63">
        <f>-Debt!AE32</f>
        <v>-1.1858232365847496</v>
      </c>
      <c r="AF11" s="63">
        <f>-Debt!AF32</f>
        <v>-1.0814344417239612</v>
      </c>
      <c r="AG11" s="63">
        <f>-Debt!AG32</f>
        <v>-1.2243780407741649</v>
      </c>
      <c r="AH11" s="63">
        <f>-Debt!AH32</f>
        <v>-1.1215676829965233</v>
      </c>
      <c r="AI11" s="63">
        <f>-Debt!AI32</f>
        <v>-1.2647112318870808</v>
      </c>
      <c r="AJ11" s="63">
        <f>-Debt!AJ32</f>
        <v>-1.1635182340796006</v>
      </c>
      <c r="AK11" s="63">
        <f>-Debt!AK32</f>
        <v>-1.3069053216520172</v>
      </c>
      <c r="AL11" s="63">
        <f>-Debt!AL32</f>
        <v>-0.22092714721454954</v>
      </c>
      <c r="AM11" s="63">
        <f>-Debt!AM32</f>
        <v>0</v>
      </c>
      <c r="AN11" s="63">
        <f>-Debt!AN32</f>
        <v>0</v>
      </c>
      <c r="AO11" s="63">
        <f>-Debt!AO32</f>
        <v>0</v>
      </c>
      <c r="AP11" s="63">
        <f>-Debt!AP32</f>
        <v>0</v>
      </c>
      <c r="AQ11" s="63">
        <f>-Debt!AQ32</f>
        <v>0</v>
      </c>
      <c r="AR11" s="63">
        <f>-Debt!AR32</f>
        <v>0</v>
      </c>
      <c r="AS11" s="63">
        <f>-Debt!AS32</f>
        <v>0</v>
      </c>
      <c r="AT11" s="63">
        <f>-Debt!AT32</f>
        <v>0</v>
      </c>
      <c r="AU11" s="63">
        <f>-Debt!AU32</f>
        <v>0</v>
      </c>
      <c r="AV11" s="63">
        <f>-Debt!AV32</f>
        <v>0</v>
      </c>
      <c r="AW11" s="63">
        <f>-Debt!AW32</f>
        <v>0</v>
      </c>
      <c r="AX11" s="63">
        <f>-Debt!AX32</f>
        <v>0</v>
      </c>
      <c r="AY11" s="63">
        <f>-Debt!AY32</f>
        <v>0</v>
      </c>
      <c r="AZ11" s="63">
        <f>-Debt!AZ32</f>
        <v>0</v>
      </c>
      <c r="BA11" s="63">
        <f>-Debt!BA32</f>
        <v>0</v>
      </c>
      <c r="BB11" s="63">
        <f>-Debt!BB32</f>
        <v>0</v>
      </c>
      <c r="BC11" s="63">
        <f>-Debt!BC32</f>
        <v>0</v>
      </c>
      <c r="BD11" s="63">
        <f>-Debt!BD32</f>
        <v>0</v>
      </c>
    </row>
    <row r="12" spans="1:56" ht="15.75" customHeight="1" x14ac:dyDescent="0.2">
      <c r="A12" s="29"/>
      <c r="B12" s="30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</row>
    <row r="13" spans="1:56" ht="15.75" customHeight="1" x14ac:dyDescent="0.2">
      <c r="A13" s="29"/>
      <c r="B13" s="30" t="s">
        <v>169</v>
      </c>
      <c r="C13" s="29"/>
      <c r="D13" s="29"/>
      <c r="E13" s="63">
        <f t="shared" ref="E13:AJ13" si="2">E9+E10+E11</f>
        <v>0</v>
      </c>
      <c r="F13" s="63">
        <f t="shared" si="2"/>
        <v>0</v>
      </c>
      <c r="G13" s="63">
        <f t="shared" si="2"/>
        <v>0.70995869758193753</v>
      </c>
      <c r="H13" s="63">
        <f t="shared" si="2"/>
        <v>0.68211705901439745</v>
      </c>
      <c r="I13" s="63">
        <f t="shared" si="2"/>
        <v>0.69840112042462776</v>
      </c>
      <c r="J13" s="63">
        <f t="shared" si="2"/>
        <v>0.67054058250273951</v>
      </c>
      <c r="K13" s="63">
        <f t="shared" si="2"/>
        <v>0.68655997390771362</v>
      </c>
      <c r="L13" s="63">
        <f t="shared" si="2"/>
        <v>0.65867381328883201</v>
      </c>
      <c r="M13" s="63">
        <f t="shared" si="2"/>
        <v>0.67442245053353711</v>
      </c>
      <c r="N13" s="63">
        <f t="shared" si="2"/>
        <v>0.64650366542770321</v>
      </c>
      <c r="O13" s="63">
        <f t="shared" si="2"/>
        <v>0.66197516674751566</v>
      </c>
      <c r="P13" s="63">
        <f t="shared" si="2"/>
        <v>0.63401646362320785</v>
      </c>
      <c r="Q13" s="63">
        <f t="shared" si="2"/>
        <v>0.64920413592555504</v>
      </c>
      <c r="R13" s="63">
        <f t="shared" si="2"/>
        <v>0.62119791558227289</v>
      </c>
      <c r="S13" s="63">
        <f t="shared" si="2"/>
        <v>0.63609474007720812</v>
      </c>
      <c r="T13" s="63">
        <f t="shared" si="2"/>
        <v>0.60803308305454951</v>
      </c>
      <c r="U13" s="63">
        <f t="shared" si="2"/>
        <v>0.62263170020313119</v>
      </c>
      <c r="V13" s="63">
        <f t="shared" si="2"/>
        <v>0.59450635149457021</v>
      </c>
      <c r="W13" s="63">
        <f t="shared" si="2"/>
        <v>0.60879904524243744</v>
      </c>
      <c r="X13" s="63">
        <f t="shared" si="2"/>
        <v>0.58060139828048518</v>
      </c>
      <c r="Y13" s="63">
        <f t="shared" si="2"/>
        <v>0.59458007954246495</v>
      </c>
      <c r="Z13" s="63">
        <f t="shared" si="2"/>
        <v>0.56630115942029624</v>
      </c>
      <c r="AA13" s="63">
        <f t="shared" si="2"/>
        <v>0.57995734878023941</v>
      </c>
      <c r="AB13" s="63">
        <f t="shared" si="2"/>
        <v>0.55158779467318597</v>
      </c>
      <c r="AC13" s="63">
        <f t="shared" si="2"/>
        <v>0.56491260426151002</v>
      </c>
      <c r="AD13" s="63">
        <f t="shared" si="2"/>
        <v>0.5364426510100766</v>
      </c>
      <c r="AE13" s="63">
        <f t="shared" si="2"/>
        <v>0.54942676551968672</v>
      </c>
      <c r="AF13" s="63">
        <f t="shared" si="2"/>
        <v>0.52084622433389227</v>
      </c>
      <c r="AG13" s="63">
        <f t="shared" si="2"/>
        <v>0.53347988113328615</v>
      </c>
      <c r="AH13" s="63">
        <f t="shared" si="2"/>
        <v>0.50477811937620998</v>
      </c>
      <c r="AI13" s="63">
        <f t="shared" si="2"/>
        <v>0.51705108767656904</v>
      </c>
      <c r="AJ13" s="63">
        <f t="shared" si="2"/>
        <v>0.4882170076829595</v>
      </c>
      <c r="AK13" s="63">
        <f t="shared" ref="AK13:BD13" si="3">AK9+AK10+AK11</f>
        <v>0.50011856671397892</v>
      </c>
      <c r="AL13" s="63">
        <f t="shared" si="3"/>
        <v>1.4575840193073903</v>
      </c>
      <c r="AM13" s="63">
        <f t="shared" si="3"/>
        <v>1.8161352117495488</v>
      </c>
      <c r="AN13" s="63">
        <f t="shared" si="3"/>
        <v>1.6651021987279966</v>
      </c>
      <c r="AO13" s="63">
        <f t="shared" si="3"/>
        <v>1.7979166173879935</v>
      </c>
      <c r="AP13" s="63">
        <f t="shared" si="3"/>
        <v>1.6476387694315489</v>
      </c>
      <c r="AQ13" s="63">
        <f t="shared" si="3"/>
        <v>1.7795790797853674</v>
      </c>
      <c r="AR13" s="63">
        <f t="shared" si="3"/>
        <v>1.630052621068705</v>
      </c>
      <c r="AS13" s="63">
        <f t="shared" si="3"/>
        <v>1.7611189929336168</v>
      </c>
      <c r="AT13" s="63">
        <f t="shared" si="3"/>
        <v>1.6123401665105379</v>
      </c>
      <c r="AU13" s="63">
        <f t="shared" si="3"/>
        <v>0.8851099270589633</v>
      </c>
      <c r="AV13" s="63">
        <f t="shared" si="3"/>
        <v>0.78204763242601416</v>
      </c>
      <c r="AW13" s="63">
        <f t="shared" si="3"/>
        <v>0.86931687984443407</v>
      </c>
      <c r="AX13" s="63">
        <f t="shared" si="3"/>
        <v>0.76676989668464968</v>
      </c>
      <c r="AY13" s="63">
        <f t="shared" si="3"/>
        <v>0.8533754479143929</v>
      </c>
      <c r="AZ13" s="63">
        <f t="shared" si="3"/>
        <v>0.75134119967040736</v>
      </c>
      <c r="BA13" s="63">
        <f t="shared" si="3"/>
        <v>0.83728182619338543</v>
      </c>
      <c r="BB13" s="63">
        <f t="shared" si="3"/>
        <v>0.73575774919061987</v>
      </c>
      <c r="BC13" s="63">
        <f t="shared" si="3"/>
        <v>0.82103213769135452</v>
      </c>
      <c r="BD13" s="63">
        <f t="shared" si="3"/>
        <v>0.72001568107360259</v>
      </c>
    </row>
    <row r="14" spans="1:56" ht="15.75" customHeight="1" x14ac:dyDescent="0.2">
      <c r="A14" s="29"/>
      <c r="B14" s="30" t="s">
        <v>170</v>
      </c>
      <c r="C14" s="29"/>
      <c r="D14" s="29"/>
      <c r="E14" s="63">
        <f>-Debt!E45</f>
        <v>1.57</v>
      </c>
      <c r="F14" s="63">
        <f>-Debt!F45</f>
        <v>-1.5667821806451612</v>
      </c>
      <c r="G14" s="63">
        <f>-Debt!G45</f>
        <v>0.14076984516128999</v>
      </c>
      <c r="H14" s="63">
        <f>-Debt!H45</f>
        <v>-0.12635528909677363</v>
      </c>
      <c r="I14" s="63">
        <f>-Debt!I45</f>
        <v>0.14006599593548352</v>
      </c>
      <c r="J14" s="63">
        <f>-Debt!J45</f>
        <v>-0.12559189974806428</v>
      </c>
      <c r="K14" s="63">
        <f>-Debt!K45</f>
        <v>0.13936566595580646</v>
      </c>
      <c r="L14" s="63">
        <f>-Debt!L45</f>
        <v>-0.12482969508803365</v>
      </c>
      <c r="M14" s="63">
        <f>-Debt!M45</f>
        <v>0.13866883762602722</v>
      </c>
      <c r="N14" s="63">
        <f>-Debt!N45</f>
        <v>-0.12406861654807821</v>
      </c>
      <c r="O14" s="63">
        <f>-Debt!O45</f>
        <v>0.13797549343789783</v>
      </c>
      <c r="P14" s="63">
        <f>-Debt!P45</f>
        <v>-0.12330860479953132</v>
      </c>
      <c r="Q14" s="63">
        <f>-Debt!Q45</f>
        <v>0.13728561597070832</v>
      </c>
      <c r="R14" s="63">
        <f>-Debt!R45</f>
        <v>-0.12254959973641055</v>
      </c>
      <c r="S14" s="63">
        <f>-Debt!S45</f>
        <v>0.1365991878908539</v>
      </c>
      <c r="T14" s="63">
        <f>-Debt!T45</f>
        <v>-0.12179154045782314</v>
      </c>
      <c r="U14" s="63">
        <f>-Debt!U45</f>
        <v>0.13591619195140026</v>
      </c>
      <c r="V14" s="63">
        <f>-Debt!V45</f>
        <v>-0.12103436525003186</v>
      </c>
      <c r="W14" s="63">
        <f>-Debt!W45</f>
        <v>0.13523661099164364</v>
      </c>
      <c r="X14" s="63">
        <f>-Debt!X45</f>
        <v>-0.12027801156816831</v>
      </c>
      <c r="Y14" s="63">
        <f>-Debt!Y45</f>
        <v>0.13456042793668521</v>
      </c>
      <c r="Z14" s="63">
        <f>-Debt!Z45</f>
        <v>-0.11952241601760161</v>
      </c>
      <c r="AA14" s="63">
        <f>-Debt!AA45</f>
        <v>0.1338876257970012</v>
      </c>
      <c r="AB14" s="63">
        <f>-Debt!AB45</f>
        <v>-0.1187675143349336</v>
      </c>
      <c r="AC14" s="63">
        <f>-Debt!AC45</f>
        <v>0.1332181876680163</v>
      </c>
      <c r="AD14" s="63">
        <f>-Debt!AD45</f>
        <v>-0.11801324136862745</v>
      </c>
      <c r="AE14" s="63">
        <f>-Debt!AE45</f>
        <v>0.13255209672967627</v>
      </c>
      <c r="AF14" s="63">
        <f>-Debt!AF45</f>
        <v>-0.11725953105925968</v>
      </c>
      <c r="AG14" s="63">
        <f>-Debt!AG45</f>
        <v>0.13188933624602805</v>
      </c>
      <c r="AH14" s="63">
        <f>-Debt!AH45</f>
        <v>-0.11650631641939002</v>
      </c>
      <c r="AI14" s="63">
        <f>-Debt!AI45</f>
        <v>0.13122988956479831</v>
      </c>
      <c r="AJ14" s="63">
        <f>-Debt!AJ45</f>
        <v>-0.11575352951302609</v>
      </c>
      <c r="AK14" s="63">
        <f>-Debt!AK45</f>
        <v>1.1170171758267031</v>
      </c>
      <c r="AL14" s="63">
        <f>-Debt!AL45</f>
        <v>0.2261741669608951</v>
      </c>
      <c r="AM14" s="63">
        <f>-Debt!AM45</f>
        <v>0</v>
      </c>
      <c r="AN14" s="63">
        <f>-Debt!AN45</f>
        <v>0</v>
      </c>
      <c r="AO14" s="63">
        <f>-Debt!AO45</f>
        <v>0</v>
      </c>
      <c r="AP14" s="63">
        <f>-Debt!AP45</f>
        <v>0</v>
      </c>
      <c r="AQ14" s="63">
        <f>-Debt!AQ45</f>
        <v>0</v>
      </c>
      <c r="AR14" s="63">
        <f>-Debt!AR45</f>
        <v>0</v>
      </c>
      <c r="AS14" s="63">
        <f>-Debt!AS45</f>
        <v>0</v>
      </c>
      <c r="AT14" s="63">
        <f>-Debt!AT45</f>
        <v>0</v>
      </c>
      <c r="AU14" s="63">
        <f>-Debt!AU45</f>
        <v>0</v>
      </c>
      <c r="AV14" s="63">
        <f>-Debt!AV45</f>
        <v>0</v>
      </c>
      <c r="AW14" s="63">
        <f>-Debt!AW45</f>
        <v>0</v>
      </c>
      <c r="AX14" s="63">
        <f>-Debt!AX45</f>
        <v>0</v>
      </c>
      <c r="AY14" s="63">
        <f>-Debt!AY45</f>
        <v>0</v>
      </c>
      <c r="AZ14" s="63">
        <f>-Debt!AZ45</f>
        <v>0</v>
      </c>
      <c r="BA14" s="63">
        <f>-Debt!BA45</f>
        <v>0</v>
      </c>
      <c r="BB14" s="63">
        <f>-Debt!BB45</f>
        <v>0</v>
      </c>
      <c r="BC14" s="63">
        <f>-Debt!BC45</f>
        <v>0</v>
      </c>
      <c r="BD14" s="63">
        <f>-Debt!BD45</f>
        <v>0</v>
      </c>
    </row>
    <row r="15" spans="1:56" ht="15.75" customHeight="1" x14ac:dyDescent="0.2">
      <c r="A15" s="29"/>
      <c r="B15" s="30" t="s">
        <v>171</v>
      </c>
      <c r="C15" s="29"/>
      <c r="D15" s="29"/>
      <c r="E15" s="63">
        <f t="shared" ref="E15:AJ15" si="4">E13+E14</f>
        <v>1.57</v>
      </c>
      <c r="F15" s="63">
        <f t="shared" si="4"/>
        <v>-1.5667821806451612</v>
      </c>
      <c r="G15" s="63">
        <f t="shared" si="4"/>
        <v>0.85072854274322751</v>
      </c>
      <c r="H15" s="63">
        <f t="shared" si="4"/>
        <v>0.55576176991762383</v>
      </c>
      <c r="I15" s="63">
        <f t="shared" si="4"/>
        <v>0.83846711636011129</v>
      </c>
      <c r="J15" s="63">
        <f t="shared" si="4"/>
        <v>0.54494868275467523</v>
      </c>
      <c r="K15" s="63">
        <f t="shared" si="4"/>
        <v>0.82592563986352008</v>
      </c>
      <c r="L15" s="63">
        <f t="shared" si="4"/>
        <v>0.53384411820079836</v>
      </c>
      <c r="M15" s="63">
        <f t="shared" si="4"/>
        <v>0.81309128815956433</v>
      </c>
      <c r="N15" s="63">
        <f t="shared" si="4"/>
        <v>0.522435048879625</v>
      </c>
      <c r="O15" s="63">
        <f t="shared" si="4"/>
        <v>0.7999506601854135</v>
      </c>
      <c r="P15" s="63">
        <f t="shared" si="4"/>
        <v>0.51070785882367653</v>
      </c>
      <c r="Q15" s="63">
        <f t="shared" si="4"/>
        <v>0.78648975189626336</v>
      </c>
      <c r="R15" s="63">
        <f t="shared" si="4"/>
        <v>0.49864831584586233</v>
      </c>
      <c r="S15" s="63">
        <f t="shared" si="4"/>
        <v>0.77269392796806202</v>
      </c>
      <c r="T15" s="63">
        <f t="shared" si="4"/>
        <v>0.48624154259672636</v>
      </c>
      <c r="U15" s="63">
        <f t="shared" si="4"/>
        <v>0.75854789215453144</v>
      </c>
      <c r="V15" s="63">
        <f t="shared" si="4"/>
        <v>0.47347198624453835</v>
      </c>
      <c r="W15" s="63">
        <f t="shared" si="4"/>
        <v>0.74403565623408108</v>
      </c>
      <c r="X15" s="63">
        <f t="shared" si="4"/>
        <v>0.46032338671231687</v>
      </c>
      <c r="Y15" s="63">
        <f t="shared" si="4"/>
        <v>0.72914050747915016</v>
      </c>
      <c r="Z15" s="63">
        <f t="shared" si="4"/>
        <v>0.44677874340269463</v>
      </c>
      <c r="AA15" s="63">
        <f t="shared" si="4"/>
        <v>0.71384497457724061</v>
      </c>
      <c r="AB15" s="63">
        <f t="shared" si="4"/>
        <v>0.43282028033825237</v>
      </c>
      <c r="AC15" s="63">
        <f t="shared" si="4"/>
        <v>0.69813079192952632</v>
      </c>
      <c r="AD15" s="63">
        <f t="shared" si="4"/>
        <v>0.41842940964144915</v>
      </c>
      <c r="AE15" s="63">
        <f t="shared" si="4"/>
        <v>0.68197886224936299</v>
      </c>
      <c r="AF15" s="63">
        <f t="shared" si="4"/>
        <v>0.40358669327463259</v>
      </c>
      <c r="AG15" s="63">
        <f t="shared" si="4"/>
        <v>0.6653692173793142</v>
      </c>
      <c r="AH15" s="63">
        <f t="shared" si="4"/>
        <v>0.38827180295681996</v>
      </c>
      <c r="AI15" s="63">
        <f t="shared" si="4"/>
        <v>0.64828097724136735</v>
      </c>
      <c r="AJ15" s="63">
        <f t="shared" si="4"/>
        <v>0.37246347816993342</v>
      </c>
      <c r="AK15" s="63">
        <f t="shared" ref="AK15:BD15" si="5">AK13+AK14</f>
        <v>1.617135742540682</v>
      </c>
      <c r="AL15" s="63">
        <f t="shared" si="5"/>
        <v>1.6837581862682853</v>
      </c>
      <c r="AM15" s="63">
        <f t="shared" si="5"/>
        <v>1.8161352117495488</v>
      </c>
      <c r="AN15" s="63">
        <f t="shared" si="5"/>
        <v>1.6651021987279966</v>
      </c>
      <c r="AO15" s="63">
        <f t="shared" si="5"/>
        <v>1.7979166173879935</v>
      </c>
      <c r="AP15" s="63">
        <f t="shared" si="5"/>
        <v>1.6476387694315489</v>
      </c>
      <c r="AQ15" s="63">
        <f t="shared" si="5"/>
        <v>1.7795790797853674</v>
      </c>
      <c r="AR15" s="63">
        <f t="shared" si="5"/>
        <v>1.630052621068705</v>
      </c>
      <c r="AS15" s="63">
        <f t="shared" si="5"/>
        <v>1.7611189929336168</v>
      </c>
      <c r="AT15" s="63">
        <f t="shared" si="5"/>
        <v>1.6123401665105379</v>
      </c>
      <c r="AU15" s="63">
        <f t="shared" si="5"/>
        <v>0.8851099270589633</v>
      </c>
      <c r="AV15" s="63">
        <f t="shared" si="5"/>
        <v>0.78204763242601416</v>
      </c>
      <c r="AW15" s="63">
        <f t="shared" si="5"/>
        <v>0.86931687984443407</v>
      </c>
      <c r="AX15" s="63">
        <f t="shared" si="5"/>
        <v>0.76676989668464968</v>
      </c>
      <c r="AY15" s="63">
        <f t="shared" si="5"/>
        <v>0.8533754479143929</v>
      </c>
      <c r="AZ15" s="63">
        <f t="shared" si="5"/>
        <v>0.75134119967040736</v>
      </c>
      <c r="BA15" s="63">
        <f t="shared" si="5"/>
        <v>0.83728182619338543</v>
      </c>
      <c r="BB15" s="63">
        <f t="shared" si="5"/>
        <v>0.73575774919061987</v>
      </c>
      <c r="BC15" s="63">
        <f t="shared" si="5"/>
        <v>0.82103213769135452</v>
      </c>
      <c r="BD15" s="63">
        <f t="shared" si="5"/>
        <v>0.72001568107360259</v>
      </c>
    </row>
    <row r="16" spans="1:56" ht="15.75" customHeight="1" x14ac:dyDescent="0.2">
      <c r="A16" s="29"/>
      <c r="B16" s="30" t="s">
        <v>172</v>
      </c>
      <c r="C16" s="29"/>
      <c r="D16" s="29"/>
      <c r="E16" s="63">
        <f>E15</f>
        <v>1.57</v>
      </c>
      <c r="F16" s="63">
        <f t="shared" ref="F16:AK16" si="6">E16+F15</f>
        <v>3.2178193548388911E-3</v>
      </c>
      <c r="G16" s="63">
        <f t="shared" si="6"/>
        <v>0.8539463620980664</v>
      </c>
      <c r="H16" s="63">
        <f t="shared" si="6"/>
        <v>1.4097081320156901</v>
      </c>
      <c r="I16" s="63">
        <f t="shared" si="6"/>
        <v>2.2481752483758015</v>
      </c>
      <c r="J16" s="63">
        <f t="shared" si="6"/>
        <v>2.7931239311304767</v>
      </c>
      <c r="K16" s="63">
        <f t="shared" si="6"/>
        <v>3.6190495709939969</v>
      </c>
      <c r="L16" s="63">
        <f t="shared" si="6"/>
        <v>4.1528936891947952</v>
      </c>
      <c r="M16" s="63">
        <f t="shared" si="6"/>
        <v>4.9659849773543598</v>
      </c>
      <c r="N16" s="63">
        <f t="shared" si="6"/>
        <v>5.4884200262339853</v>
      </c>
      <c r="O16" s="63">
        <f t="shared" si="6"/>
        <v>6.2883706864193991</v>
      </c>
      <c r="P16" s="63">
        <f t="shared" si="6"/>
        <v>6.7990785452430753</v>
      </c>
      <c r="Q16" s="63">
        <f t="shared" si="6"/>
        <v>7.5855682971393383</v>
      </c>
      <c r="R16" s="63">
        <f t="shared" si="6"/>
        <v>8.0842166129852</v>
      </c>
      <c r="S16" s="63">
        <f t="shared" si="6"/>
        <v>8.8569105409532618</v>
      </c>
      <c r="T16" s="63">
        <f t="shared" si="6"/>
        <v>9.3431520835499882</v>
      </c>
      <c r="U16" s="63">
        <f t="shared" si="6"/>
        <v>10.10169997570452</v>
      </c>
      <c r="V16" s="63">
        <f t="shared" si="6"/>
        <v>10.575171961949058</v>
      </c>
      <c r="W16" s="63">
        <f t="shared" si="6"/>
        <v>11.319207618183139</v>
      </c>
      <c r="X16" s="63">
        <f t="shared" si="6"/>
        <v>11.779531004895455</v>
      </c>
      <c r="Y16" s="63">
        <f t="shared" si="6"/>
        <v>12.508671512374605</v>
      </c>
      <c r="Z16" s="63">
        <f t="shared" si="6"/>
        <v>12.955450255777299</v>
      </c>
      <c r="AA16" s="63">
        <f t="shared" si="6"/>
        <v>13.669295230354539</v>
      </c>
      <c r="AB16" s="63">
        <f t="shared" si="6"/>
        <v>14.102115510692791</v>
      </c>
      <c r="AC16" s="63">
        <f t="shared" si="6"/>
        <v>14.800246302622316</v>
      </c>
      <c r="AD16" s="63">
        <f t="shared" si="6"/>
        <v>15.218675712263765</v>
      </c>
      <c r="AE16" s="63">
        <f t="shared" si="6"/>
        <v>15.900654574513128</v>
      </c>
      <c r="AF16" s="63">
        <f t="shared" si="6"/>
        <v>16.304241267787759</v>
      </c>
      <c r="AG16" s="63">
        <f t="shared" si="6"/>
        <v>16.969610485167074</v>
      </c>
      <c r="AH16" s="63">
        <f t="shared" si="6"/>
        <v>17.357882288123893</v>
      </c>
      <c r="AI16" s="63">
        <f t="shared" si="6"/>
        <v>18.006163265365259</v>
      </c>
      <c r="AJ16" s="63">
        <f t="shared" si="6"/>
        <v>18.378626743535193</v>
      </c>
      <c r="AK16" s="63">
        <f t="shared" si="6"/>
        <v>19.995762486075876</v>
      </c>
      <c r="AL16" s="63">
        <f t="shared" ref="AL16:BD16" si="7">AK16+AL15</f>
        <v>21.679520672344161</v>
      </c>
      <c r="AM16" s="63">
        <f t="shared" si="7"/>
        <v>23.495655884093711</v>
      </c>
      <c r="AN16" s="63">
        <f t="shared" si="7"/>
        <v>25.160758082821708</v>
      </c>
      <c r="AO16" s="63">
        <f t="shared" si="7"/>
        <v>26.958674700209702</v>
      </c>
      <c r="AP16" s="63">
        <f t="shared" si="7"/>
        <v>28.60631346964125</v>
      </c>
      <c r="AQ16" s="63">
        <f t="shared" si="7"/>
        <v>30.385892549426618</v>
      </c>
      <c r="AR16" s="63">
        <f t="shared" si="7"/>
        <v>32.015945170495321</v>
      </c>
      <c r="AS16" s="63">
        <f t="shared" si="7"/>
        <v>33.777064163428939</v>
      </c>
      <c r="AT16" s="63">
        <f t="shared" si="7"/>
        <v>35.389404329939474</v>
      </c>
      <c r="AU16" s="63">
        <f t="shared" si="7"/>
        <v>36.274514256998437</v>
      </c>
      <c r="AV16" s="63">
        <f t="shared" si="7"/>
        <v>37.056561889424451</v>
      </c>
      <c r="AW16" s="63">
        <f t="shared" si="7"/>
        <v>37.925878769268884</v>
      </c>
      <c r="AX16" s="63">
        <f t="shared" si="7"/>
        <v>38.692648665953534</v>
      </c>
      <c r="AY16" s="63">
        <f t="shared" si="7"/>
        <v>39.546024113867929</v>
      </c>
      <c r="AZ16" s="63">
        <f t="shared" si="7"/>
        <v>40.297365313538336</v>
      </c>
      <c r="BA16" s="63">
        <f t="shared" si="7"/>
        <v>41.134647139731719</v>
      </c>
      <c r="BB16" s="63">
        <f t="shared" si="7"/>
        <v>41.870404888922337</v>
      </c>
      <c r="BC16" s="63">
        <f t="shared" si="7"/>
        <v>42.691437026613691</v>
      </c>
      <c r="BD16" s="63">
        <f t="shared" si="7"/>
        <v>43.411452707687296</v>
      </c>
    </row>
    <row r="17" spans="1:56" ht="15.75" customHeight="1" x14ac:dyDescent="0.2">
      <c r="A17" s="29"/>
      <c r="B17" s="30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</row>
    <row r="18" spans="1:56" ht="15.75" customHeight="1" x14ac:dyDescent="0.2">
      <c r="A18" s="29"/>
      <c r="B18" s="27" t="s">
        <v>173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</row>
    <row r="19" spans="1:56" ht="15.75" customHeight="1" x14ac:dyDescent="0.2">
      <c r="A19" s="29"/>
      <c r="B19" s="30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</row>
    <row r="20" spans="1:56" ht="15.75" customHeight="1" x14ac:dyDescent="0.2">
      <c r="A20" s="29"/>
      <c r="B20" s="30" t="s">
        <v>174</v>
      </c>
      <c r="C20" s="53">
        <v>1.1000000000000001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 spans="1:56" ht="15.75" customHeight="1" x14ac:dyDescent="0.2">
      <c r="A21" s="29"/>
      <c r="B21" s="30" t="s">
        <v>175</v>
      </c>
      <c r="C21" s="29"/>
      <c r="D21" s="29"/>
      <c r="E21" s="29">
        <f>IF(Debt!E38&gt;=Returns!$C$20,1,0)</f>
        <v>1</v>
      </c>
      <c r="F21" s="29">
        <f>IF(Debt!F38&gt;=Returns!$C$20,1,0)</f>
        <v>1</v>
      </c>
      <c r="G21" s="29">
        <f>IF(Debt!G38&gt;=Returns!$C$20,1,0)</f>
        <v>1</v>
      </c>
      <c r="H21" s="29">
        <f>IF(Debt!H38&gt;=Returns!$C$20,1,0)</f>
        <v>1</v>
      </c>
      <c r="I21" s="29">
        <f>IF(Debt!I38&gt;=Returns!$C$20,1,0)</f>
        <v>1</v>
      </c>
      <c r="J21" s="29">
        <f>IF(Debt!J38&gt;=Returns!$C$20,1,0)</f>
        <v>1</v>
      </c>
      <c r="K21" s="29">
        <f>IF(Debt!K38&gt;=Returns!$C$20,1,0)</f>
        <v>1</v>
      </c>
      <c r="L21" s="29">
        <f>IF(Debt!L38&gt;=Returns!$C$20,1,0)</f>
        <v>1</v>
      </c>
      <c r="M21" s="29">
        <f>IF(Debt!M38&gt;=Returns!$C$20,1,0)</f>
        <v>1</v>
      </c>
      <c r="N21" s="29">
        <f>IF(Debt!N38&gt;=Returns!$C$20,1,0)</f>
        <v>1</v>
      </c>
      <c r="O21" s="29">
        <f>IF(Debt!O38&gt;=Returns!$C$20,1,0)</f>
        <v>1</v>
      </c>
      <c r="P21" s="29">
        <f>IF(Debt!P38&gt;=Returns!$C$20,1,0)</f>
        <v>1</v>
      </c>
      <c r="Q21" s="29">
        <f>IF(Debt!Q38&gt;=Returns!$C$20,1,0)</f>
        <v>1</v>
      </c>
      <c r="R21" s="29">
        <f>IF(Debt!R38&gt;=Returns!$C$20,1,0)</f>
        <v>1</v>
      </c>
      <c r="S21" s="29">
        <f>IF(Debt!S38&gt;=Returns!$C$20,1,0)</f>
        <v>1</v>
      </c>
      <c r="T21" s="29">
        <f>IF(Debt!T38&gt;=Returns!$C$20,1,0)</f>
        <v>1</v>
      </c>
      <c r="U21" s="29">
        <f>IF(Debt!U38&gt;=Returns!$C$20,1,0)</f>
        <v>1</v>
      </c>
      <c r="V21" s="29">
        <f>IF(Debt!V38&gt;=Returns!$C$20,1,0)</f>
        <v>1</v>
      </c>
      <c r="W21" s="29">
        <f>IF(Debt!W38&gt;=Returns!$C$20,1,0)</f>
        <v>1</v>
      </c>
      <c r="X21" s="29">
        <f>IF(Debt!X38&gt;=Returns!$C$20,1,0)</f>
        <v>1</v>
      </c>
      <c r="Y21" s="29">
        <f>IF(Debt!Y38&gt;=Returns!$C$20,1,0)</f>
        <v>1</v>
      </c>
      <c r="Z21" s="29">
        <f>IF(Debt!Z38&gt;=Returns!$C$20,1,0)</f>
        <v>1</v>
      </c>
      <c r="AA21" s="29">
        <f>IF(Debt!AA38&gt;=Returns!$C$20,1,0)</f>
        <v>1</v>
      </c>
      <c r="AB21" s="29">
        <f>IF(Debt!AB38&gt;=Returns!$C$20,1,0)</f>
        <v>1</v>
      </c>
      <c r="AC21" s="29">
        <f>IF(Debt!AC38&gt;=Returns!$C$20,1,0)</f>
        <v>1</v>
      </c>
      <c r="AD21" s="29">
        <f>IF(Debt!AD38&gt;=Returns!$C$20,1,0)</f>
        <v>1</v>
      </c>
      <c r="AE21" s="29">
        <f>IF(Debt!AE38&gt;=Returns!$C$20,1,0)</f>
        <v>1</v>
      </c>
      <c r="AF21" s="29">
        <f>IF(Debt!AF38&gt;=Returns!$C$20,1,0)</f>
        <v>1</v>
      </c>
      <c r="AG21" s="29">
        <f>IF(Debt!AG38&gt;=Returns!$C$20,1,0)</f>
        <v>1</v>
      </c>
      <c r="AH21" s="29">
        <f>IF(Debt!AH38&gt;=Returns!$C$20,1,0)</f>
        <v>1</v>
      </c>
      <c r="AI21" s="29">
        <f>IF(Debt!AI38&gt;=Returns!$C$20,1,0)</f>
        <v>1</v>
      </c>
      <c r="AJ21" s="29">
        <f>IF(Debt!AJ38&gt;=Returns!$C$20,1,0)</f>
        <v>1</v>
      </c>
      <c r="AK21" s="29">
        <f>IF(Debt!AK38&gt;=Returns!$C$20,1,0)</f>
        <v>1</v>
      </c>
      <c r="AL21" s="29">
        <f>IF(Debt!AL38&gt;=Returns!$C$20,1,0)</f>
        <v>1</v>
      </c>
      <c r="AM21" s="29">
        <f>IF(Debt!AM38&gt;=Returns!$C$20,1,0)</f>
        <v>1</v>
      </c>
      <c r="AN21" s="29">
        <f>IF(Debt!AN38&gt;=Returns!$C$20,1,0)</f>
        <v>1</v>
      </c>
      <c r="AO21" s="29">
        <f>IF(Debt!AO38&gt;=Returns!$C$20,1,0)</f>
        <v>1</v>
      </c>
      <c r="AP21" s="29">
        <f>IF(Debt!AP38&gt;=Returns!$C$20,1,0)</f>
        <v>1</v>
      </c>
      <c r="AQ21" s="29">
        <f>IF(Debt!AQ38&gt;=Returns!$C$20,1,0)</f>
        <v>1</v>
      </c>
      <c r="AR21" s="29">
        <f>IF(Debt!AR38&gt;=Returns!$C$20,1,0)</f>
        <v>1</v>
      </c>
      <c r="AS21" s="29">
        <f>IF(Debt!AS38&gt;=Returns!$C$20,1,0)</f>
        <v>1</v>
      </c>
      <c r="AT21" s="29">
        <f>IF(Debt!AT38&gt;=Returns!$C$20,1,0)</f>
        <v>1</v>
      </c>
      <c r="AU21" s="29">
        <f>IF(Debt!AU38&gt;=Returns!$C$20,1,0)</f>
        <v>1</v>
      </c>
      <c r="AV21" s="29">
        <f>IF(Debt!AV38&gt;=Returns!$C$20,1,0)</f>
        <v>1</v>
      </c>
      <c r="AW21" s="29">
        <f>IF(Debt!AW38&gt;=Returns!$C$20,1,0)</f>
        <v>1</v>
      </c>
      <c r="AX21" s="29">
        <f>IF(Debt!AX38&gt;=Returns!$C$20,1,0)</f>
        <v>1</v>
      </c>
      <c r="AY21" s="29">
        <f>IF(Debt!AY38&gt;=Returns!$C$20,1,0)</f>
        <v>1</v>
      </c>
      <c r="AZ21" s="29">
        <f>IF(Debt!AZ38&gt;=Returns!$C$20,1,0)</f>
        <v>1</v>
      </c>
      <c r="BA21" s="29">
        <f>IF(Debt!BA38&gt;=Returns!$C$20,1,0)</f>
        <v>1</v>
      </c>
      <c r="BB21" s="29">
        <f>IF(Debt!BB38&gt;=Returns!$C$20,1,0)</f>
        <v>1</v>
      </c>
      <c r="BC21" s="29">
        <f>IF(Debt!BC38&gt;=Returns!$C$20,1,0)</f>
        <v>1</v>
      </c>
      <c r="BD21" s="29">
        <f>IF(Debt!BD38&gt;=Returns!$C$20,1,0)</f>
        <v>1</v>
      </c>
    </row>
    <row r="22" spans="1:56" ht="15.75" customHeight="1" x14ac:dyDescent="0.2">
      <c r="A22" s="29"/>
      <c r="B22" s="30" t="s">
        <v>176</v>
      </c>
      <c r="C22" s="29"/>
      <c r="D22" s="29"/>
      <c r="E22" s="33">
        <f t="shared" ref="E22:AJ22" si="8">E15*E21</f>
        <v>1.57</v>
      </c>
      <c r="F22" s="33">
        <f t="shared" si="8"/>
        <v>-1.5667821806451612</v>
      </c>
      <c r="G22" s="33">
        <f t="shared" si="8"/>
        <v>0.85072854274322751</v>
      </c>
      <c r="H22" s="33">
        <f t="shared" si="8"/>
        <v>0.55576176991762383</v>
      </c>
      <c r="I22" s="33">
        <f t="shared" si="8"/>
        <v>0.83846711636011129</v>
      </c>
      <c r="J22" s="33">
        <f t="shared" si="8"/>
        <v>0.54494868275467523</v>
      </c>
      <c r="K22" s="33">
        <f t="shared" si="8"/>
        <v>0.82592563986352008</v>
      </c>
      <c r="L22" s="33">
        <f t="shared" si="8"/>
        <v>0.53384411820079836</v>
      </c>
      <c r="M22" s="33">
        <f t="shared" si="8"/>
        <v>0.81309128815956433</v>
      </c>
      <c r="N22" s="33">
        <f t="shared" si="8"/>
        <v>0.522435048879625</v>
      </c>
      <c r="O22" s="33">
        <f t="shared" si="8"/>
        <v>0.7999506601854135</v>
      </c>
      <c r="P22" s="33">
        <f t="shared" si="8"/>
        <v>0.51070785882367653</v>
      </c>
      <c r="Q22" s="33">
        <f t="shared" si="8"/>
        <v>0.78648975189626336</v>
      </c>
      <c r="R22" s="33">
        <f t="shared" si="8"/>
        <v>0.49864831584586233</v>
      </c>
      <c r="S22" s="33">
        <f t="shared" si="8"/>
        <v>0.77269392796806202</v>
      </c>
      <c r="T22" s="33">
        <f t="shared" si="8"/>
        <v>0.48624154259672636</v>
      </c>
      <c r="U22" s="33">
        <f t="shared" si="8"/>
        <v>0.75854789215453144</v>
      </c>
      <c r="V22" s="33">
        <f t="shared" si="8"/>
        <v>0.47347198624453835</v>
      </c>
      <c r="W22" s="33">
        <f t="shared" si="8"/>
        <v>0.74403565623408108</v>
      </c>
      <c r="X22" s="33">
        <f t="shared" si="8"/>
        <v>0.46032338671231687</v>
      </c>
      <c r="Y22" s="33">
        <f t="shared" si="8"/>
        <v>0.72914050747915016</v>
      </c>
      <c r="Z22" s="33">
        <f t="shared" si="8"/>
        <v>0.44677874340269463</v>
      </c>
      <c r="AA22" s="33">
        <f t="shared" si="8"/>
        <v>0.71384497457724061</v>
      </c>
      <c r="AB22" s="33">
        <f t="shared" si="8"/>
        <v>0.43282028033825237</v>
      </c>
      <c r="AC22" s="33">
        <f t="shared" si="8"/>
        <v>0.69813079192952632</v>
      </c>
      <c r="AD22" s="33">
        <f t="shared" si="8"/>
        <v>0.41842940964144915</v>
      </c>
      <c r="AE22" s="33">
        <f t="shared" si="8"/>
        <v>0.68197886224936299</v>
      </c>
      <c r="AF22" s="33">
        <f t="shared" si="8"/>
        <v>0.40358669327463259</v>
      </c>
      <c r="AG22" s="33">
        <f t="shared" si="8"/>
        <v>0.6653692173793142</v>
      </c>
      <c r="AH22" s="33">
        <f t="shared" si="8"/>
        <v>0.38827180295681996</v>
      </c>
      <c r="AI22" s="33">
        <f t="shared" si="8"/>
        <v>0.64828097724136735</v>
      </c>
      <c r="AJ22" s="33">
        <f t="shared" si="8"/>
        <v>0.37246347816993342</v>
      </c>
      <c r="AK22" s="33">
        <f t="shared" ref="AK22:BD22" si="9">AK15*AK21</f>
        <v>1.617135742540682</v>
      </c>
      <c r="AL22" s="33">
        <f t="shared" si="9"/>
        <v>1.6837581862682853</v>
      </c>
      <c r="AM22" s="33">
        <f t="shared" si="9"/>
        <v>1.8161352117495488</v>
      </c>
      <c r="AN22" s="33">
        <f t="shared" si="9"/>
        <v>1.6651021987279966</v>
      </c>
      <c r="AO22" s="33">
        <f t="shared" si="9"/>
        <v>1.7979166173879935</v>
      </c>
      <c r="AP22" s="33">
        <f t="shared" si="9"/>
        <v>1.6476387694315489</v>
      </c>
      <c r="AQ22" s="33">
        <f t="shared" si="9"/>
        <v>1.7795790797853674</v>
      </c>
      <c r="AR22" s="33">
        <f t="shared" si="9"/>
        <v>1.630052621068705</v>
      </c>
      <c r="AS22" s="33">
        <f t="shared" si="9"/>
        <v>1.7611189929336168</v>
      </c>
      <c r="AT22" s="33">
        <f t="shared" si="9"/>
        <v>1.6123401665105379</v>
      </c>
      <c r="AU22" s="33">
        <f t="shared" si="9"/>
        <v>0.8851099270589633</v>
      </c>
      <c r="AV22" s="33">
        <f t="shared" si="9"/>
        <v>0.78204763242601416</v>
      </c>
      <c r="AW22" s="33">
        <f t="shared" si="9"/>
        <v>0.86931687984443407</v>
      </c>
      <c r="AX22" s="33">
        <f t="shared" si="9"/>
        <v>0.76676989668464968</v>
      </c>
      <c r="AY22" s="33">
        <f t="shared" si="9"/>
        <v>0.8533754479143929</v>
      </c>
      <c r="AZ22" s="33">
        <f t="shared" si="9"/>
        <v>0.75134119967040736</v>
      </c>
      <c r="BA22" s="33">
        <f t="shared" si="9"/>
        <v>0.83728182619338543</v>
      </c>
      <c r="BB22" s="33">
        <f t="shared" si="9"/>
        <v>0.73575774919061987</v>
      </c>
      <c r="BC22" s="33">
        <f t="shared" si="9"/>
        <v>0.82103213769135452</v>
      </c>
      <c r="BD22" s="33">
        <f t="shared" si="9"/>
        <v>0.72001568107360259</v>
      </c>
    </row>
    <row r="23" spans="1:56" ht="15.75" customHeight="1" x14ac:dyDescent="0.2">
      <c r="A23" s="29"/>
      <c r="B23" s="30" t="s">
        <v>177</v>
      </c>
      <c r="C23" s="29"/>
      <c r="D23" s="29"/>
      <c r="E23" s="63">
        <f t="shared" ref="E23:AJ23" si="10">E15-E22</f>
        <v>0</v>
      </c>
      <c r="F23" s="63">
        <f t="shared" si="10"/>
        <v>0</v>
      </c>
      <c r="G23" s="63">
        <f t="shared" si="10"/>
        <v>0</v>
      </c>
      <c r="H23" s="63">
        <f t="shared" si="10"/>
        <v>0</v>
      </c>
      <c r="I23" s="63">
        <f t="shared" si="10"/>
        <v>0</v>
      </c>
      <c r="J23" s="63">
        <f t="shared" si="10"/>
        <v>0</v>
      </c>
      <c r="K23" s="63">
        <f t="shared" si="10"/>
        <v>0</v>
      </c>
      <c r="L23" s="63">
        <f t="shared" si="10"/>
        <v>0</v>
      </c>
      <c r="M23" s="63">
        <f t="shared" si="10"/>
        <v>0</v>
      </c>
      <c r="N23" s="63">
        <f t="shared" si="10"/>
        <v>0</v>
      </c>
      <c r="O23" s="63">
        <f t="shared" si="10"/>
        <v>0</v>
      </c>
      <c r="P23" s="63">
        <f t="shared" si="10"/>
        <v>0</v>
      </c>
      <c r="Q23" s="63">
        <f t="shared" si="10"/>
        <v>0</v>
      </c>
      <c r="R23" s="63">
        <f t="shared" si="10"/>
        <v>0</v>
      </c>
      <c r="S23" s="63">
        <f t="shared" si="10"/>
        <v>0</v>
      </c>
      <c r="T23" s="63">
        <f t="shared" si="10"/>
        <v>0</v>
      </c>
      <c r="U23" s="63">
        <f t="shared" si="10"/>
        <v>0</v>
      </c>
      <c r="V23" s="63">
        <f t="shared" si="10"/>
        <v>0</v>
      </c>
      <c r="W23" s="63">
        <f t="shared" si="10"/>
        <v>0</v>
      </c>
      <c r="X23" s="63">
        <f t="shared" si="10"/>
        <v>0</v>
      </c>
      <c r="Y23" s="63">
        <f t="shared" si="10"/>
        <v>0</v>
      </c>
      <c r="Z23" s="63">
        <f t="shared" si="10"/>
        <v>0</v>
      </c>
      <c r="AA23" s="63">
        <f t="shared" si="10"/>
        <v>0</v>
      </c>
      <c r="AB23" s="63">
        <f t="shared" si="10"/>
        <v>0</v>
      </c>
      <c r="AC23" s="63">
        <f t="shared" si="10"/>
        <v>0</v>
      </c>
      <c r="AD23" s="63">
        <f t="shared" si="10"/>
        <v>0</v>
      </c>
      <c r="AE23" s="63">
        <f t="shared" si="10"/>
        <v>0</v>
      </c>
      <c r="AF23" s="63">
        <f t="shared" si="10"/>
        <v>0</v>
      </c>
      <c r="AG23" s="63">
        <f t="shared" si="10"/>
        <v>0</v>
      </c>
      <c r="AH23" s="63">
        <f t="shared" si="10"/>
        <v>0</v>
      </c>
      <c r="AI23" s="63">
        <f t="shared" si="10"/>
        <v>0</v>
      </c>
      <c r="AJ23" s="63">
        <f t="shared" si="10"/>
        <v>0</v>
      </c>
      <c r="AK23" s="63">
        <f t="shared" ref="AK23:BD23" si="11">AK15-AK22</f>
        <v>0</v>
      </c>
      <c r="AL23" s="63">
        <f t="shared" si="11"/>
        <v>0</v>
      </c>
      <c r="AM23" s="63">
        <f t="shared" si="11"/>
        <v>0</v>
      </c>
      <c r="AN23" s="63">
        <f t="shared" si="11"/>
        <v>0</v>
      </c>
      <c r="AO23" s="63">
        <f t="shared" si="11"/>
        <v>0</v>
      </c>
      <c r="AP23" s="63">
        <f t="shared" si="11"/>
        <v>0</v>
      </c>
      <c r="AQ23" s="63">
        <f t="shared" si="11"/>
        <v>0</v>
      </c>
      <c r="AR23" s="63">
        <f t="shared" si="11"/>
        <v>0</v>
      </c>
      <c r="AS23" s="63">
        <f t="shared" si="11"/>
        <v>0</v>
      </c>
      <c r="AT23" s="63">
        <f t="shared" si="11"/>
        <v>0</v>
      </c>
      <c r="AU23" s="63">
        <f t="shared" si="11"/>
        <v>0</v>
      </c>
      <c r="AV23" s="63">
        <f t="shared" si="11"/>
        <v>0</v>
      </c>
      <c r="AW23" s="63">
        <f t="shared" si="11"/>
        <v>0</v>
      </c>
      <c r="AX23" s="63">
        <f t="shared" si="11"/>
        <v>0</v>
      </c>
      <c r="AY23" s="63">
        <f t="shared" si="11"/>
        <v>0</v>
      </c>
      <c r="AZ23" s="63">
        <f t="shared" si="11"/>
        <v>0</v>
      </c>
      <c r="BA23" s="63">
        <f t="shared" si="11"/>
        <v>0</v>
      </c>
      <c r="BB23" s="63">
        <f t="shared" si="11"/>
        <v>0</v>
      </c>
      <c r="BC23" s="63">
        <f t="shared" si="11"/>
        <v>0</v>
      </c>
      <c r="BD23" s="63">
        <f t="shared" si="11"/>
        <v>0</v>
      </c>
    </row>
    <row r="24" spans="1:56" ht="15.75" customHeight="1" x14ac:dyDescent="0.2">
      <c r="A24" s="29"/>
      <c r="B24" s="30" t="s">
        <v>178</v>
      </c>
      <c r="C24" s="29"/>
      <c r="D24" s="29"/>
      <c r="E24" s="63">
        <f>E23</f>
        <v>0</v>
      </c>
      <c r="F24" s="63">
        <f t="shared" ref="F24:AK24" si="12">E24+F23</f>
        <v>0</v>
      </c>
      <c r="G24" s="63">
        <f t="shared" si="12"/>
        <v>0</v>
      </c>
      <c r="H24" s="63">
        <f t="shared" si="12"/>
        <v>0</v>
      </c>
      <c r="I24" s="63">
        <f t="shared" si="12"/>
        <v>0</v>
      </c>
      <c r="J24" s="63">
        <f t="shared" si="12"/>
        <v>0</v>
      </c>
      <c r="K24" s="63">
        <f t="shared" si="12"/>
        <v>0</v>
      </c>
      <c r="L24" s="63">
        <f t="shared" si="12"/>
        <v>0</v>
      </c>
      <c r="M24" s="63">
        <f t="shared" si="12"/>
        <v>0</v>
      </c>
      <c r="N24" s="63">
        <f t="shared" si="12"/>
        <v>0</v>
      </c>
      <c r="O24" s="63">
        <f t="shared" si="12"/>
        <v>0</v>
      </c>
      <c r="P24" s="63">
        <f t="shared" si="12"/>
        <v>0</v>
      </c>
      <c r="Q24" s="63">
        <f t="shared" si="12"/>
        <v>0</v>
      </c>
      <c r="R24" s="63">
        <f t="shared" si="12"/>
        <v>0</v>
      </c>
      <c r="S24" s="63">
        <f t="shared" si="12"/>
        <v>0</v>
      </c>
      <c r="T24" s="63">
        <f t="shared" si="12"/>
        <v>0</v>
      </c>
      <c r="U24" s="63">
        <f t="shared" si="12"/>
        <v>0</v>
      </c>
      <c r="V24" s="63">
        <f t="shared" si="12"/>
        <v>0</v>
      </c>
      <c r="W24" s="63">
        <f t="shared" si="12"/>
        <v>0</v>
      </c>
      <c r="X24" s="63">
        <f t="shared" si="12"/>
        <v>0</v>
      </c>
      <c r="Y24" s="63">
        <f t="shared" si="12"/>
        <v>0</v>
      </c>
      <c r="Z24" s="63">
        <f t="shared" si="12"/>
        <v>0</v>
      </c>
      <c r="AA24" s="63">
        <f t="shared" si="12"/>
        <v>0</v>
      </c>
      <c r="AB24" s="63">
        <f t="shared" si="12"/>
        <v>0</v>
      </c>
      <c r="AC24" s="63">
        <f t="shared" si="12"/>
        <v>0</v>
      </c>
      <c r="AD24" s="63">
        <f t="shared" si="12"/>
        <v>0</v>
      </c>
      <c r="AE24" s="63">
        <f t="shared" si="12"/>
        <v>0</v>
      </c>
      <c r="AF24" s="63">
        <f t="shared" si="12"/>
        <v>0</v>
      </c>
      <c r="AG24" s="63">
        <f t="shared" si="12"/>
        <v>0</v>
      </c>
      <c r="AH24" s="63">
        <f t="shared" si="12"/>
        <v>0</v>
      </c>
      <c r="AI24" s="63">
        <f t="shared" si="12"/>
        <v>0</v>
      </c>
      <c r="AJ24" s="63">
        <f t="shared" si="12"/>
        <v>0</v>
      </c>
      <c r="AK24" s="63">
        <f t="shared" si="12"/>
        <v>0</v>
      </c>
      <c r="AL24" s="63">
        <f t="shared" ref="AL24:BD24" si="13">AK24+AL23</f>
        <v>0</v>
      </c>
      <c r="AM24" s="63">
        <f t="shared" si="13"/>
        <v>0</v>
      </c>
      <c r="AN24" s="63">
        <f t="shared" si="13"/>
        <v>0</v>
      </c>
      <c r="AO24" s="63">
        <f t="shared" si="13"/>
        <v>0</v>
      </c>
      <c r="AP24" s="63">
        <f t="shared" si="13"/>
        <v>0</v>
      </c>
      <c r="AQ24" s="63">
        <f t="shared" si="13"/>
        <v>0</v>
      </c>
      <c r="AR24" s="63">
        <f t="shared" si="13"/>
        <v>0</v>
      </c>
      <c r="AS24" s="63">
        <f t="shared" si="13"/>
        <v>0</v>
      </c>
      <c r="AT24" s="63">
        <f t="shared" si="13"/>
        <v>0</v>
      </c>
      <c r="AU24" s="63">
        <f t="shared" si="13"/>
        <v>0</v>
      </c>
      <c r="AV24" s="63">
        <f t="shared" si="13"/>
        <v>0</v>
      </c>
      <c r="AW24" s="63">
        <f t="shared" si="13"/>
        <v>0</v>
      </c>
      <c r="AX24" s="63">
        <f t="shared" si="13"/>
        <v>0</v>
      </c>
      <c r="AY24" s="63">
        <f t="shared" si="13"/>
        <v>0</v>
      </c>
      <c r="AZ24" s="63">
        <f t="shared" si="13"/>
        <v>0</v>
      </c>
      <c r="BA24" s="63">
        <f t="shared" si="13"/>
        <v>0</v>
      </c>
      <c r="BB24" s="63">
        <f t="shared" si="13"/>
        <v>0</v>
      </c>
      <c r="BC24" s="63">
        <f t="shared" si="13"/>
        <v>0</v>
      </c>
      <c r="BD24" s="63">
        <f t="shared" si="13"/>
        <v>0</v>
      </c>
    </row>
    <row r="25" spans="1:56" ht="15.75" customHeight="1" x14ac:dyDescent="0.2">
      <c r="A25" s="29"/>
      <c r="B25" s="30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</row>
    <row r="26" spans="1:56" ht="15.75" customHeight="1" x14ac:dyDescent="0.2">
      <c r="A26" s="29"/>
      <c r="B26" s="27" t="s">
        <v>179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</row>
    <row r="27" spans="1:56" ht="43.5" customHeight="1" x14ac:dyDescent="0.2">
      <c r="A27" s="29"/>
      <c r="B27" s="30" t="s">
        <v>180</v>
      </c>
      <c r="C27" s="53">
        <f>(SUMPRODUCT(Timing!E17:BD17,Operations!E37:BD37,Debt!E14:BD14)+Debt!E44)/Debt!G28</f>
        <v>1.6087552529818236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</row>
    <row r="28" spans="1:56" ht="15.75" customHeight="1" x14ac:dyDescent="0.2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</row>
    <row r="29" spans="1:56" ht="15.75" customHeight="1" x14ac:dyDescent="0.2">
      <c r="A29" s="29"/>
      <c r="B29" s="27" t="s">
        <v>181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</row>
    <row r="30" spans="1:56" ht="15.75" customHeight="1" x14ac:dyDescent="0.2">
      <c r="A30" s="29"/>
      <c r="B30" s="30" t="s">
        <v>182</v>
      </c>
      <c r="C30" s="29"/>
      <c r="D30" s="29"/>
      <c r="E30" s="33">
        <f>(Operations!E32+Operations!E29)*Inputs!$C$23</f>
        <v>0</v>
      </c>
      <c r="F30" s="33">
        <f>(Operations!F32+Operations!F29)*Inputs!$C$23</f>
        <v>0</v>
      </c>
      <c r="G30" s="33">
        <f>(Operations!G32+Operations!G29)*Inputs!$C$23</f>
        <v>0.33434962677290114</v>
      </c>
      <c r="H30" s="33">
        <f>(Operations!H32+Operations!H29)*Inputs!$C$23</f>
        <v>0.27980131177290124</v>
      </c>
      <c r="I30" s="33">
        <f>(Operations!I32+Operations!I29)*Inputs!$C$23</f>
        <v>0.32876398629790105</v>
      </c>
      <c r="J30" s="33">
        <f>(Operations!J32+Operations!J29)*Inputs!$C$23</f>
        <v>0.27448841287290116</v>
      </c>
      <c r="K30" s="33">
        <f>(Operations!K32+Operations!K29)*Inputs!$C$23</f>
        <v>0.32315527402527611</v>
      </c>
      <c r="L30" s="33">
        <f>(Operations!L32+Operations!L29)*Inputs!$C$23</f>
        <v>0.26915107846740105</v>
      </c>
      <c r="M30" s="33">
        <f>(Operations!M32+Operations!M29)*Inputs!$C$23</f>
        <v>0.31752258531401412</v>
      </c>
      <c r="N30" s="33">
        <f>(Operations!N32+Operations!N29)*Inputs!$C$23</f>
        <v>0.26378841073392856</v>
      </c>
      <c r="O30" s="33">
        <f>(Operations!O32+Operations!O29)*Inputs!$C$23</f>
        <v>0.31186499964630887</v>
      </c>
      <c r="P30" s="33">
        <f>(Operations!P32+Operations!P29)*Inputs!$C$23</f>
        <v>0.25839949593912348</v>
      </c>
      <c r="Q30" s="33">
        <f>(Operations!Q32+Operations!Q29)*Inputs!$C$23</f>
        <v>0.30618158029894182</v>
      </c>
      <c r="R30" s="33">
        <f>(Operations!R32+Operations!R29)*Inputs!$C$23</f>
        <v>0.25298340411029241</v>
      </c>
      <c r="S30" s="33">
        <f>(Operations!S32+Operations!S29)*Inputs!$C$23</f>
        <v>0.30047137400815149</v>
      </c>
      <c r="T30" s="33">
        <f>(Operations!T32+Operations!T29)*Inputs!$C$23</f>
        <v>0.24753918870044556</v>
      </c>
      <c r="U30" s="33">
        <f>(Operations!U32+Operations!U29)*Inputs!$C$23</f>
        <v>0.29473341062785208</v>
      </c>
      <c r="V30" s="33">
        <f>(Operations!V32+Operations!V29)*Inputs!$C$23</f>
        <v>0.24206588624668446</v>
      </c>
      <c r="W30" s="33">
        <f>(Operations!W32+Operations!W29)*Inputs!$C$23</f>
        <v>0.28896670278107184</v>
      </c>
      <c r="X30" s="33">
        <f>(Operations!X32+Operations!X29)*Inputs!$C$23</f>
        <v>0.23656251602180989</v>
      </c>
      <c r="Y30" s="33">
        <f>(Operations!Y32+Operations!Y29)*Inputs!$C$23</f>
        <v>0.28317024550447512</v>
      </c>
      <c r="Z30" s="33">
        <f>(Operations!Z32+Operations!Z29)*Inputs!$C$23</f>
        <v>0.23102807967900962</v>
      </c>
      <c r="AA30" s="33">
        <f>(Operations!AA32+Operations!AA29)*Inputs!$C$23</f>
        <v>0.27734301588583021</v>
      </c>
      <c r="AB30" s="33">
        <f>(Operations!AB32+Operations!AB29)*Inputs!$C$23</f>
        <v>0.22546156088949226</v>
      </c>
      <c r="AC30" s="33">
        <f>(Operations!AC32+Operations!AC29)*Inputs!$C$23</f>
        <v>0.27148397269427904</v>
      </c>
      <c r="AD30" s="33">
        <f>(Operations!AD32+Operations!AD29)*Inputs!$C$23</f>
        <v>0.21986192497292273</v>
      </c>
      <c r="AE30" s="33">
        <f>(Operations!AE32+Operations!AE29)*Inputs!$C$23</f>
        <v>0.26559205600326585</v>
      </c>
      <c r="AF30" s="33">
        <f>(Operations!AF32+Operations!AF29)*Inputs!$C$23</f>
        <v>0.21422811852051626</v>
      </c>
      <c r="AG30" s="33">
        <f>(Operations!AG32+Operations!AG29)*Inputs!$C$23</f>
        <v>0.25966618680597942</v>
      </c>
      <c r="AH30" s="33">
        <f>(Operations!AH32+Operations!AH29)*Inputs!$C$23</f>
        <v>0.20855906901064358</v>
      </c>
      <c r="AI30" s="33">
        <f>(Operations!AI32+Operations!AI29)*Inputs!$C$23</f>
        <v>0.25370526662315718</v>
      </c>
      <c r="AJ30" s="33">
        <f>(Operations!AJ32+Operations!AJ29)*Inputs!$C$23</f>
        <v>0.2028536844167978</v>
      </c>
      <c r="AK30" s="33">
        <f>(Operations!AK32+Operations!AK29)*Inputs!$C$23</f>
        <v>0.24770817710309545</v>
      </c>
      <c r="AL30" s="33">
        <f>(Operations!AL32+Operations!AL29)*Inputs!$C$23</f>
        <v>0.19711085280776786</v>
      </c>
      <c r="AM30" s="33">
        <f>(Operations!AM32+Operations!AM29)*Inputs!$C$23</f>
        <v>0.24167377961371783</v>
      </c>
      <c r="AN30" s="33">
        <f>(Operations!AN32+Operations!AN29)*Inputs!$C$23</f>
        <v>0.19132944193986706</v>
      </c>
      <c r="AO30" s="33">
        <f>(Operations!AO32+Operations!AO29)*Inputs!$C$23</f>
        <v>0.23560091482653267</v>
      </c>
      <c r="AP30" s="33">
        <f>(Operations!AP32+Operations!AP29)*Inputs!$C$23</f>
        <v>0.18550829884105113</v>
      </c>
      <c r="AQ30" s="33">
        <f>(Operations!AQ32+Operations!AQ29)*Inputs!$C$23</f>
        <v>0.22948840229232403</v>
      </c>
      <c r="AR30" s="33">
        <f>(Operations!AR32+Operations!AR29)*Inputs!$C$23</f>
        <v>0.17964624938676987</v>
      </c>
      <c r="AS30" s="33">
        <f>(Operations!AS32+Operations!AS29)*Inputs!$C$23</f>
        <v>0.2233350400084072</v>
      </c>
      <c r="AT30" s="33">
        <f>(Operations!AT32+Operations!AT29)*Inputs!$C$23</f>
        <v>0.17374209786738082</v>
      </c>
      <c r="AU30" s="33">
        <f>(Operations!AU32+Operations!AU29)*Inputs!$C$23</f>
        <v>0.29503664235298777</v>
      </c>
      <c r="AV30" s="33">
        <f>(Operations!AV32+Operations!AV29)*Inputs!$C$23</f>
        <v>0.2606825441420047</v>
      </c>
      <c r="AW30" s="33">
        <f>(Operations!AW32+Operations!AW29)*Inputs!$C$23</f>
        <v>0.28977229328147802</v>
      </c>
      <c r="AX30" s="33">
        <f>(Operations!AX32+Operations!AX29)*Inputs!$C$23</f>
        <v>0.25558996556154989</v>
      </c>
      <c r="AY30" s="33">
        <f>(Operations!AY32+Operations!AY29)*Inputs!$C$23</f>
        <v>0.28445848263813095</v>
      </c>
      <c r="AZ30" s="33">
        <f>(Operations!AZ32+Operations!AZ29)*Inputs!$C$23</f>
        <v>0.25044706655680243</v>
      </c>
      <c r="BA30" s="33">
        <f>(Operations!BA32+Operations!BA29)*Inputs!$C$23</f>
        <v>0.27909394206446181</v>
      </c>
      <c r="BB30" s="33">
        <f>(Operations!BB32+Operations!BB29)*Inputs!$C$23</f>
        <v>0.24525258306353995</v>
      </c>
      <c r="BC30" s="33">
        <f>(Operations!BC32+Operations!BC29)*Inputs!$C$23</f>
        <v>0.27367737923045149</v>
      </c>
      <c r="BD30" s="33">
        <f>(Operations!BD32+Operations!BD29)*Inputs!$C$23</f>
        <v>0.2400052270245342</v>
      </c>
    </row>
    <row r="31" spans="1:56" ht="15.75" customHeight="1" x14ac:dyDescent="0.2">
      <c r="A31" s="29"/>
      <c r="B31" s="30" t="s">
        <v>183</v>
      </c>
      <c r="C31" s="29"/>
      <c r="D31" s="29"/>
      <c r="E31" s="33">
        <f>Operations!E23-E30-Construction!E8</f>
        <v>-20.5</v>
      </c>
      <c r="F31" s="33">
        <f>Operations!F23-F30-Construction!F8</f>
        <v>-20.5</v>
      </c>
      <c r="G31" s="33">
        <f>Operations!G23-G30-Construction!G8</f>
        <v>2.0941627532270988</v>
      </c>
      <c r="H31" s="33">
        <f>Operations!H23-H30-Construction!H8</f>
        <v>1.9305178082270991</v>
      </c>
      <c r="I31" s="33">
        <f>Operations!I23-I30-Construction!I8</f>
        <v>2.0774058318020985</v>
      </c>
      <c r="J31" s="33">
        <f>Operations!J23-J30-Construction!J8</f>
        <v>1.9145791115270989</v>
      </c>
      <c r="K31" s="33">
        <f>Operations!K23-K30-Construction!K8</f>
        <v>2.0605796949842237</v>
      </c>
      <c r="L31" s="33">
        <f>Operations!L23-L30-Construction!L8</f>
        <v>1.8985671083105986</v>
      </c>
      <c r="M31" s="33">
        <f>Operations!M23-M30-Construction!M8</f>
        <v>2.0436816288504378</v>
      </c>
      <c r="N31" s="33">
        <f>Operations!N23-N30-Construction!N8</f>
        <v>1.882479105110181</v>
      </c>
      <c r="O31" s="33">
        <f>Operations!O23-O30-Construction!O8</f>
        <v>2.0267088718473221</v>
      </c>
      <c r="P31" s="33">
        <f>Operations!P23-P30-Construction!P8</f>
        <v>1.8663123607257659</v>
      </c>
      <c r="Q31" s="33">
        <f>Operations!Q23-Q30-Construction!Q8</f>
        <v>2.0096586138052208</v>
      </c>
      <c r="R31" s="33">
        <f>Operations!R23-R30-Construction!R8</f>
        <v>1.8500640852392727</v>
      </c>
      <c r="S31" s="33">
        <f>Operations!S23-S30-Construction!S8</f>
        <v>1.9925279949328498</v>
      </c>
      <c r="T31" s="33">
        <f>Operations!T23-T30-Construction!T8</f>
        <v>1.8337314390097319</v>
      </c>
      <c r="U31" s="33">
        <f>Operations!U23-U30-Construction!U8</f>
        <v>1.9753141047919516</v>
      </c>
      <c r="V31" s="33">
        <f>Operations!V23-V30-Construction!V8</f>
        <v>1.8173115316484487</v>
      </c>
      <c r="W31" s="33">
        <f>Operations!W23-W30-Construction!W8</f>
        <v>1.9580139812516109</v>
      </c>
      <c r="X31" s="33">
        <f>Operations!X23-X30-Construction!X8</f>
        <v>1.800801420973825</v>
      </c>
      <c r="Y31" s="33">
        <f>Operations!Y23-Y30-Construction!Y8</f>
        <v>1.9406246094218207</v>
      </c>
      <c r="Z31" s="33">
        <f>Operations!Z23-Z30-Construction!Z8</f>
        <v>1.7841981119454242</v>
      </c>
      <c r="AA31" s="33">
        <f>Operations!AA23-AA30-Construction!AA8</f>
        <v>1.9231429205658861</v>
      </c>
      <c r="AB31" s="33">
        <f>Operations!AB23-AB30-Construction!AB8</f>
        <v>1.7674985555768721</v>
      </c>
      <c r="AC31" s="33">
        <f>Operations!AC23-AC30-Construction!AC8</f>
        <v>1.9055657909912325</v>
      </c>
      <c r="AD31" s="33">
        <f>Operations!AD23-AD30-Construction!AD8</f>
        <v>1.7506996478271635</v>
      </c>
      <c r="AE31" s="33">
        <f>Operations!AE23-AE30-Construction!AE8</f>
        <v>1.8878900409181929</v>
      </c>
      <c r="AF31" s="33">
        <f>Operations!AF23-AF30-Construction!AF8</f>
        <v>1.733798228469944</v>
      </c>
      <c r="AG31" s="33">
        <f>Operations!AG23-AG30-Construction!AG8</f>
        <v>1.8701124333263337</v>
      </c>
      <c r="AH31" s="33">
        <f>Operations!AH23-AH30-Construction!AH8</f>
        <v>1.7167910799403261</v>
      </c>
      <c r="AI31" s="33">
        <f>Operations!AI23-AI30-Construction!AI8</f>
        <v>1.8522296727778669</v>
      </c>
      <c r="AJ31" s="33">
        <f>Operations!AJ23-AJ30-Construction!AJ8</f>
        <v>1.6996749261587887</v>
      </c>
      <c r="AK31" s="33">
        <f>Operations!AK23-AK30-Construction!AK8</f>
        <v>1.8342384042176816</v>
      </c>
      <c r="AL31" s="33">
        <f>Operations!AL23-AL30-Construction!AL8</f>
        <v>1.6824464313316989</v>
      </c>
      <c r="AM31" s="33">
        <f>Operations!AM23-AM30-Construction!AM8</f>
        <v>1.8161352117495488</v>
      </c>
      <c r="AN31" s="33">
        <f>Operations!AN23-AN30-Construction!AN8</f>
        <v>1.6651021987279966</v>
      </c>
      <c r="AO31" s="33">
        <f>Operations!AO23-AO30-Construction!AO8</f>
        <v>1.7979166173879935</v>
      </c>
      <c r="AP31" s="33">
        <f>Operations!AP23-AP30-Construction!AP8</f>
        <v>1.6476387694315489</v>
      </c>
      <c r="AQ31" s="33">
        <f>Operations!AQ23-AQ30-Construction!AQ8</f>
        <v>1.7795790797853674</v>
      </c>
      <c r="AR31" s="33">
        <f>Operations!AR23-AR30-Construction!AR8</f>
        <v>1.630052621068705</v>
      </c>
      <c r="AS31" s="33">
        <f>Operations!AS23-AS30-Construction!AS8</f>
        <v>1.7611189929336168</v>
      </c>
      <c r="AT31" s="33">
        <f>Operations!AT23-AT30-Construction!AT8</f>
        <v>1.6123401665105379</v>
      </c>
      <c r="AU31" s="33">
        <f>Operations!AU23-AU30-Construction!AU8</f>
        <v>0.8851099270589633</v>
      </c>
      <c r="AV31" s="33">
        <f>Operations!AV23-AV30-Construction!AV8</f>
        <v>0.78204763242601416</v>
      </c>
      <c r="AW31" s="33">
        <f>Operations!AW23-AW30-Construction!AW8</f>
        <v>0.86931687984443407</v>
      </c>
      <c r="AX31" s="33">
        <f>Operations!AX23-AX30-Construction!AX8</f>
        <v>0.76676989668464968</v>
      </c>
      <c r="AY31" s="33">
        <f>Operations!AY23-AY30-Construction!AY8</f>
        <v>0.8533754479143929</v>
      </c>
      <c r="AZ31" s="33">
        <f>Operations!AZ23-AZ30-Construction!AZ8</f>
        <v>0.75134119967040736</v>
      </c>
      <c r="BA31" s="33">
        <f>Operations!BA23-BA30-Construction!BA8</f>
        <v>0.83728182619338543</v>
      </c>
      <c r="BB31" s="33">
        <f>Operations!BB23-BB30-Construction!BB8</f>
        <v>0.73575774919061987</v>
      </c>
      <c r="BC31" s="33">
        <f>Operations!BC23-BC30-Construction!BC8</f>
        <v>0.82103213769135452</v>
      </c>
      <c r="BD31" s="33">
        <f>Operations!BD23-BD30-Construction!BD8</f>
        <v>0.72001568107360259</v>
      </c>
    </row>
    <row r="32" spans="1:56" ht="15.75" customHeight="1" x14ac:dyDescent="0.2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</row>
    <row r="33" spans="1:56" ht="15.75" customHeight="1" x14ac:dyDescent="0.2">
      <c r="A33" s="29"/>
      <c r="B33" s="64" t="s">
        <v>184</v>
      </c>
      <c r="C33" s="65">
        <f>IRR(E31:BD31)</f>
        <v>3.5529655159513673E-2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</row>
    <row r="34" spans="1:56" ht="15.75" customHeight="1" x14ac:dyDescent="0.2">
      <c r="A34" s="29"/>
      <c r="B34" s="64" t="s">
        <v>185</v>
      </c>
      <c r="C34" s="65">
        <f>(1+C33)^2-1</f>
        <v>7.2321666714781241E-2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</row>
    <row r="35" spans="1:56" ht="15.75" customHeight="1" x14ac:dyDescent="0.2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</row>
    <row r="36" spans="1:56" ht="15.75" customHeight="1" x14ac:dyDescent="0.2">
      <c r="A36" s="29"/>
      <c r="B36" s="27" t="s">
        <v>186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</row>
    <row r="37" spans="1:56" ht="15.75" customHeight="1" x14ac:dyDescent="0.2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</row>
    <row r="38" spans="1:56" ht="15.75" customHeight="1" x14ac:dyDescent="0.2">
      <c r="A38" s="29"/>
      <c r="B38" s="30" t="s">
        <v>187</v>
      </c>
      <c r="C38" s="29"/>
      <c r="D38" s="29"/>
      <c r="E38" s="33">
        <f>E22-Construction!E15</f>
        <v>-6.1995549163358117</v>
      </c>
      <c r="F38" s="33">
        <f>F22-Construction!F15</f>
        <v>-6.6917821806451609</v>
      </c>
      <c r="G38" s="33">
        <f>G22-Construction!G15</f>
        <v>0.85072854274322751</v>
      </c>
      <c r="H38" s="33">
        <f>H22-Construction!H15</f>
        <v>0.55576176991762383</v>
      </c>
      <c r="I38" s="33">
        <f>I22-Construction!I15</f>
        <v>0.83846711636011129</v>
      </c>
      <c r="J38" s="33">
        <f>J22-Construction!J15</f>
        <v>0.54494868275467523</v>
      </c>
      <c r="K38" s="33">
        <f>K22-Construction!K15</f>
        <v>0.82592563986352008</v>
      </c>
      <c r="L38" s="33">
        <f>L22-Construction!L15</f>
        <v>0.53384411820079836</v>
      </c>
      <c r="M38" s="33">
        <f>M22-Construction!M15</f>
        <v>0.81309128815956433</v>
      </c>
      <c r="N38" s="33">
        <f>N22-Construction!N15</f>
        <v>0.522435048879625</v>
      </c>
      <c r="O38" s="33">
        <f>O22-Construction!O15</f>
        <v>0.7999506601854135</v>
      </c>
      <c r="P38" s="33">
        <f>P22-Construction!P15</f>
        <v>0.51070785882367653</v>
      </c>
      <c r="Q38" s="33">
        <f>Q22-Construction!Q15</f>
        <v>0.78648975189626336</v>
      </c>
      <c r="R38" s="33">
        <f>R22-Construction!R15</f>
        <v>0.49864831584586233</v>
      </c>
      <c r="S38" s="33">
        <f>S22-Construction!S15</f>
        <v>0.77269392796806202</v>
      </c>
      <c r="T38" s="33">
        <f>T22-Construction!T15</f>
        <v>0.48624154259672636</v>
      </c>
      <c r="U38" s="33">
        <f>U22-Construction!U15</f>
        <v>0.75854789215453144</v>
      </c>
      <c r="V38" s="33">
        <f>V22-Construction!V15</f>
        <v>0.47347198624453835</v>
      </c>
      <c r="W38" s="33">
        <f>W22-Construction!W15</f>
        <v>0.74403565623408108</v>
      </c>
      <c r="X38" s="33">
        <f>X22-Construction!X15</f>
        <v>0.46032338671231687</v>
      </c>
      <c r="Y38" s="33">
        <f>Y22-Construction!Y15</f>
        <v>0.72914050747915016</v>
      </c>
      <c r="Z38" s="33">
        <f>Z22-Construction!Z15</f>
        <v>0.44677874340269463</v>
      </c>
      <c r="AA38" s="33">
        <f>AA22-Construction!AA15</f>
        <v>0.71384497457724061</v>
      </c>
      <c r="AB38" s="33">
        <f>AB22-Construction!AB15</f>
        <v>0.43282028033825237</v>
      </c>
      <c r="AC38" s="33">
        <f>AC22-Construction!AC15</f>
        <v>0.69813079192952632</v>
      </c>
      <c r="AD38" s="33">
        <f>AD22-Construction!AD15</f>
        <v>0.41842940964144915</v>
      </c>
      <c r="AE38" s="33">
        <f>AE22-Construction!AE15</f>
        <v>0.68197886224936299</v>
      </c>
      <c r="AF38" s="33">
        <f>AF22-Construction!AF15</f>
        <v>0.40358669327463259</v>
      </c>
      <c r="AG38" s="33">
        <f>AG22-Construction!AG15</f>
        <v>0.6653692173793142</v>
      </c>
      <c r="AH38" s="33">
        <f>AH22-Construction!AH15</f>
        <v>0.38827180295681996</v>
      </c>
      <c r="AI38" s="33">
        <f>AI22-Construction!AI15</f>
        <v>0.64828097724136735</v>
      </c>
      <c r="AJ38" s="33">
        <f>AJ22-Construction!AJ15</f>
        <v>0.37246347816993342</v>
      </c>
      <c r="AK38" s="33">
        <f>AK22-Construction!AK15</f>
        <v>1.617135742540682</v>
      </c>
      <c r="AL38" s="33">
        <f>AL22-Construction!AL15</f>
        <v>1.6837581862682853</v>
      </c>
      <c r="AM38" s="33">
        <f>AM22-Construction!AM15</f>
        <v>1.8161352117495488</v>
      </c>
      <c r="AN38" s="33">
        <f>AN22-Construction!AN15</f>
        <v>1.6651021987279966</v>
      </c>
      <c r="AO38" s="33">
        <f>AO22-Construction!AO15</f>
        <v>1.7979166173879935</v>
      </c>
      <c r="AP38" s="33">
        <f>AP22-Construction!AP15</f>
        <v>1.6476387694315489</v>
      </c>
      <c r="AQ38" s="33">
        <f>AQ22-Construction!AQ15</f>
        <v>1.7795790797853674</v>
      </c>
      <c r="AR38" s="33">
        <f>AR22-Construction!AR15</f>
        <v>1.630052621068705</v>
      </c>
      <c r="AS38" s="33">
        <f>AS22-Construction!AS15</f>
        <v>1.7611189929336168</v>
      </c>
      <c r="AT38" s="33">
        <f>AT22-Construction!AT15</f>
        <v>1.6123401665105379</v>
      </c>
      <c r="AU38" s="33">
        <f>AU22-Construction!AU15</f>
        <v>0.8851099270589633</v>
      </c>
      <c r="AV38" s="33">
        <f>AV22-Construction!AV15</f>
        <v>0.78204763242601416</v>
      </c>
      <c r="AW38" s="33">
        <f>AW22-Construction!AW15</f>
        <v>0.86931687984443407</v>
      </c>
      <c r="AX38" s="33">
        <f>AX22-Construction!AX15</f>
        <v>0.76676989668464968</v>
      </c>
      <c r="AY38" s="33">
        <f>AY22-Construction!AY15</f>
        <v>0.8533754479143929</v>
      </c>
      <c r="AZ38" s="33">
        <f>AZ22-Construction!AZ15</f>
        <v>0.75134119967040736</v>
      </c>
      <c r="BA38" s="33">
        <f>BA22-Construction!BA15</f>
        <v>0.83728182619338543</v>
      </c>
      <c r="BB38" s="33">
        <f>BB22-Construction!BB15</f>
        <v>0.73575774919061987</v>
      </c>
      <c r="BC38" s="33">
        <f>BC22-Construction!BC15</f>
        <v>0.82103213769135452</v>
      </c>
      <c r="BD38" s="33">
        <f>BD22-Construction!BD15</f>
        <v>0.72001568107360259</v>
      </c>
    </row>
    <row r="39" spans="1:56" ht="15.75" customHeight="1" x14ac:dyDescent="0.2">
      <c r="A39" s="29"/>
      <c r="B39" s="30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</row>
    <row r="40" spans="1:56" ht="15.75" customHeight="1" x14ac:dyDescent="0.2">
      <c r="A40" s="29"/>
      <c r="B40" s="64" t="s">
        <v>188</v>
      </c>
      <c r="C40" s="65">
        <f>IRR(E38:BD38)</f>
        <v>5.2313419180220144E-2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</row>
    <row r="41" spans="1:56" ht="15.75" customHeight="1" x14ac:dyDescent="0.2">
      <c r="A41" s="29"/>
      <c r="B41" s="64" t="s">
        <v>189</v>
      </c>
      <c r="C41" s="65">
        <f>(1+C40)^2-1</f>
        <v>0.10736353218676564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</row>
    <row r="42" spans="1:56" ht="15.75" customHeight="1" x14ac:dyDescent="0.2">
      <c r="A42" s="29"/>
      <c r="B42" s="30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</row>
    <row r="43" spans="1:56" ht="15.75" customHeight="1" x14ac:dyDescent="0.2">
      <c r="A43" s="29"/>
      <c r="B43" s="64" t="s">
        <v>190</v>
      </c>
      <c r="C43" s="66">
        <f>SUM(E22:BD22)/SUM(Construction!E15:F15)</f>
        <v>3.366649953360572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</row>
    <row r="44" spans="1:56" ht="15.75" customHeight="1" x14ac:dyDescent="0.2">
      <c r="A44" s="29"/>
      <c r="B44" s="30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</row>
    <row r="45" spans="1:56" ht="15.75" customHeight="1" x14ac:dyDescent="0.2">
      <c r="A45" s="29"/>
      <c r="B45" s="64" t="s">
        <v>191</v>
      </c>
      <c r="C45" s="29" t="str">
        <f>"Year "&amp;ROUNDUP(COUNTIF(Returns!E45:BD45,"&lt;0")/2,0)</f>
        <v>Year 11</v>
      </c>
      <c r="D45" s="29"/>
      <c r="E45" s="33">
        <f>E38</f>
        <v>-6.1995549163358117</v>
      </c>
      <c r="F45" s="33">
        <f t="shared" ref="F45:AK45" si="14">E45+F38</f>
        <v>-12.891337096980973</v>
      </c>
      <c r="G45" s="33">
        <f t="shared" si="14"/>
        <v>-12.040608554237744</v>
      </c>
      <c r="H45" s="33">
        <f t="shared" si="14"/>
        <v>-11.484846784320121</v>
      </c>
      <c r="I45" s="33">
        <f t="shared" si="14"/>
        <v>-10.64637966796001</v>
      </c>
      <c r="J45" s="33">
        <f t="shared" si="14"/>
        <v>-10.101430985205335</v>
      </c>
      <c r="K45" s="33">
        <f t="shared" si="14"/>
        <v>-9.2755053453418146</v>
      </c>
      <c r="L45" s="33">
        <f t="shared" si="14"/>
        <v>-8.7416612271410159</v>
      </c>
      <c r="M45" s="33">
        <f t="shared" si="14"/>
        <v>-7.9285699389814512</v>
      </c>
      <c r="N45" s="33">
        <f t="shared" si="14"/>
        <v>-7.4061348901018267</v>
      </c>
      <c r="O45" s="33">
        <f t="shared" si="14"/>
        <v>-6.6061842299164129</v>
      </c>
      <c r="P45" s="33">
        <f t="shared" si="14"/>
        <v>-6.0954763710927367</v>
      </c>
      <c r="Q45" s="33">
        <f t="shared" si="14"/>
        <v>-5.3089866191964736</v>
      </c>
      <c r="R45" s="33">
        <f t="shared" si="14"/>
        <v>-4.8103383033506111</v>
      </c>
      <c r="S45" s="33">
        <f t="shared" si="14"/>
        <v>-4.0376443753825493</v>
      </c>
      <c r="T45" s="33">
        <f t="shared" si="14"/>
        <v>-3.5514028327858229</v>
      </c>
      <c r="U45" s="33">
        <f t="shared" si="14"/>
        <v>-2.7928549406312912</v>
      </c>
      <c r="V45" s="33">
        <f t="shared" si="14"/>
        <v>-2.3193829543867528</v>
      </c>
      <c r="W45" s="33">
        <f t="shared" si="14"/>
        <v>-1.5753472981526717</v>
      </c>
      <c r="X45" s="33">
        <f t="shared" si="14"/>
        <v>-1.1150239114403548</v>
      </c>
      <c r="Y45" s="33">
        <f t="shared" si="14"/>
        <v>-0.38588340396120469</v>
      </c>
      <c r="Z45" s="33">
        <f t="shared" si="14"/>
        <v>6.0895339441489948E-2</v>
      </c>
      <c r="AA45" s="33">
        <f t="shared" si="14"/>
        <v>0.77474031401873056</v>
      </c>
      <c r="AB45" s="33">
        <f t="shared" si="14"/>
        <v>1.2075605943569829</v>
      </c>
      <c r="AC45" s="33">
        <f t="shared" si="14"/>
        <v>1.9056913862865092</v>
      </c>
      <c r="AD45" s="33">
        <f t="shared" si="14"/>
        <v>2.3241207959279584</v>
      </c>
      <c r="AE45" s="33">
        <f t="shared" si="14"/>
        <v>3.0060996581773214</v>
      </c>
      <c r="AF45" s="33">
        <f t="shared" si="14"/>
        <v>3.409686351451954</v>
      </c>
      <c r="AG45" s="33">
        <f t="shared" si="14"/>
        <v>4.0750555688312682</v>
      </c>
      <c r="AH45" s="33">
        <f t="shared" si="14"/>
        <v>4.4633273717880879</v>
      </c>
      <c r="AI45" s="33">
        <f t="shared" si="14"/>
        <v>5.1116083490294555</v>
      </c>
      <c r="AJ45" s="33">
        <f t="shared" si="14"/>
        <v>5.4840718271993891</v>
      </c>
      <c r="AK45" s="33">
        <f t="shared" si="14"/>
        <v>7.1012075697400707</v>
      </c>
      <c r="AL45" s="33">
        <f t="shared" ref="AL45:BD45" si="15">AK45+AL38</f>
        <v>8.7849657560083561</v>
      </c>
      <c r="AM45" s="33">
        <f t="shared" si="15"/>
        <v>10.601100967757905</v>
      </c>
      <c r="AN45" s="33">
        <f t="shared" si="15"/>
        <v>12.266203166485901</v>
      </c>
      <c r="AO45" s="33">
        <f t="shared" si="15"/>
        <v>14.064119783873895</v>
      </c>
      <c r="AP45" s="33">
        <f t="shared" si="15"/>
        <v>15.711758553305444</v>
      </c>
      <c r="AQ45" s="33">
        <f t="shared" si="15"/>
        <v>17.491337633090811</v>
      </c>
      <c r="AR45" s="33">
        <f t="shared" si="15"/>
        <v>19.121390254159515</v>
      </c>
      <c r="AS45" s="33">
        <f t="shared" si="15"/>
        <v>20.882509247093132</v>
      </c>
      <c r="AT45" s="33">
        <f t="shared" si="15"/>
        <v>22.494849413603671</v>
      </c>
      <c r="AU45" s="33">
        <f t="shared" si="15"/>
        <v>23.379959340662634</v>
      </c>
      <c r="AV45" s="33">
        <f t="shared" si="15"/>
        <v>24.162006973088648</v>
      </c>
      <c r="AW45" s="33">
        <f t="shared" si="15"/>
        <v>25.031323852933081</v>
      </c>
      <c r="AX45" s="33">
        <f t="shared" si="15"/>
        <v>25.798093749617731</v>
      </c>
      <c r="AY45" s="33">
        <f t="shared" si="15"/>
        <v>26.651469197532123</v>
      </c>
      <c r="AZ45" s="33">
        <f t="shared" si="15"/>
        <v>27.402810397202529</v>
      </c>
      <c r="BA45" s="33">
        <f t="shared" si="15"/>
        <v>28.240092223395916</v>
      </c>
      <c r="BB45" s="33">
        <f t="shared" si="15"/>
        <v>28.975849972586534</v>
      </c>
      <c r="BC45" s="33">
        <f t="shared" si="15"/>
        <v>29.796882110277888</v>
      </c>
      <c r="BD45" s="33">
        <f t="shared" si="15"/>
        <v>30.516897791351489</v>
      </c>
    </row>
  </sheetData>
  <pageMargins left="0.7" right="0.7" top="0.75" bottom="0.75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H46"/>
  <sheetViews>
    <sheetView showGridLines="0" tabSelected="1" zoomScale="120" zoomScaleNormal="120" workbookViewId="0">
      <selection activeCell="L19" sqref="L19"/>
    </sheetView>
  </sheetViews>
  <sheetFormatPr baseColWidth="10" defaultColWidth="8.5" defaultRowHeight="16" x14ac:dyDescent="0.2"/>
  <cols>
    <col min="1" max="1" width="3" style="76" customWidth="1"/>
    <col min="2" max="2" width="16" style="76" customWidth="1"/>
    <col min="3" max="8" width="12" style="76" customWidth="1"/>
    <col min="9" max="16384" width="8.5" style="76"/>
  </cols>
  <sheetData>
    <row r="2" spans="2:8" ht="17.25" customHeight="1" x14ac:dyDescent="0.25">
      <c r="B2" s="85" t="s">
        <v>192</v>
      </c>
    </row>
    <row r="3" spans="2:8" ht="15" customHeight="1" x14ac:dyDescent="0.2">
      <c r="B3" s="77"/>
    </row>
    <row r="5" spans="2:8" ht="16.5" customHeight="1" x14ac:dyDescent="0.2">
      <c r="B5" s="97" t="s">
        <v>231</v>
      </c>
      <c r="C5" s="97"/>
      <c r="D5" s="97"/>
      <c r="E5" s="97"/>
      <c r="F5" s="97"/>
      <c r="G5" s="97"/>
      <c r="H5" s="97"/>
    </row>
    <row r="7" spans="2:8" ht="15" customHeight="1" x14ac:dyDescent="0.2">
      <c r="B7" s="83" t="s">
        <v>193</v>
      </c>
      <c r="C7" s="84">
        <v>70</v>
      </c>
      <c r="D7" s="84">
        <v>74</v>
      </c>
      <c r="E7" s="84">
        <v>79</v>
      </c>
      <c r="F7" s="84">
        <v>82</v>
      </c>
      <c r="G7" s="84">
        <v>85</v>
      </c>
    </row>
    <row r="8" spans="2:8" ht="15" customHeight="1" x14ac:dyDescent="0.2">
      <c r="B8" s="78" t="s">
        <v>194</v>
      </c>
      <c r="C8" s="79">
        <v>8.3662829994683802E-2</v>
      </c>
      <c r="D8" s="79">
        <v>8.7078338923367402E-2</v>
      </c>
      <c r="E8" s="79">
        <v>9.1259958259874499E-2</v>
      </c>
      <c r="F8" s="79">
        <v>9.3776849269069998E-2</v>
      </c>
      <c r="G8" s="79">
        <v>0.10036649944661501</v>
      </c>
    </row>
    <row r="9" spans="2:8" ht="15" customHeight="1" x14ac:dyDescent="0.2">
      <c r="B9" s="78" t="s">
        <v>195</v>
      </c>
      <c r="C9" s="79">
        <v>8.7840234061387801E-2</v>
      </c>
      <c r="D9" s="79">
        <v>9.13311751258261E-2</v>
      </c>
      <c r="E9" s="79">
        <v>9.7586216637396903E-2</v>
      </c>
      <c r="F9" s="79">
        <v>0.104276429212261</v>
      </c>
      <c r="G9" s="79">
        <v>0.110713923820235</v>
      </c>
    </row>
    <row r="10" spans="2:8" ht="15" customHeight="1" x14ac:dyDescent="0.2">
      <c r="B10" s="78" t="s">
        <v>196</v>
      </c>
      <c r="C10" s="79">
        <v>9.1851524828555006E-2</v>
      </c>
      <c r="D10" s="79">
        <v>9.5778142110427594E-2</v>
      </c>
      <c r="E10" s="80">
        <v>0.107363532186765</v>
      </c>
      <c r="F10" s="79">
        <v>0.113969688870802</v>
      </c>
      <c r="G10" s="79">
        <v>0.120396383628708</v>
      </c>
    </row>
    <row r="11" spans="2:8" ht="15" customHeight="1" x14ac:dyDescent="0.2">
      <c r="B11" s="78" t="s">
        <v>197</v>
      </c>
      <c r="C11" s="79">
        <v>9.4185932326683805E-2</v>
      </c>
      <c r="D11" s="79">
        <v>0.10141678189030701</v>
      </c>
      <c r="E11" s="79">
        <v>0.112913174518096</v>
      </c>
      <c r="F11" s="79">
        <v>0.11952555642613701</v>
      </c>
      <c r="G11" s="79">
        <v>0.125967723686079</v>
      </c>
    </row>
    <row r="12" spans="2:8" ht="15" customHeight="1" x14ac:dyDescent="0.2">
      <c r="B12" s="81"/>
    </row>
    <row r="14" spans="2:8" ht="16.5" customHeight="1" x14ac:dyDescent="0.2">
      <c r="B14" s="97" t="s">
        <v>198</v>
      </c>
      <c r="C14" s="97"/>
      <c r="D14" s="97"/>
      <c r="E14" s="97"/>
      <c r="F14" s="97"/>
      <c r="G14" s="97"/>
      <c r="H14" s="97"/>
    </row>
    <row r="16" spans="2:8" ht="15" customHeight="1" x14ac:dyDescent="0.2">
      <c r="B16" s="83" t="s">
        <v>199</v>
      </c>
      <c r="C16" s="84" t="s">
        <v>194</v>
      </c>
      <c r="D16" s="84" t="s">
        <v>195</v>
      </c>
      <c r="E16" s="84" t="s">
        <v>196</v>
      </c>
      <c r="F16" s="84" t="s">
        <v>197</v>
      </c>
    </row>
    <row r="17" spans="2:8" ht="15" customHeight="1" x14ac:dyDescent="0.2">
      <c r="B17" s="78" t="s">
        <v>200</v>
      </c>
      <c r="C17" s="79">
        <v>0.102368479922472</v>
      </c>
      <c r="D17" s="79">
        <v>0.11279268442401599</v>
      </c>
      <c r="E17" s="79">
        <v>0.122592441987152</v>
      </c>
      <c r="F17" s="79">
        <v>0.12822596192458999</v>
      </c>
    </row>
    <row r="18" spans="2:8" ht="15" customHeight="1" x14ac:dyDescent="0.2">
      <c r="B18" s="78" t="s">
        <v>201</v>
      </c>
      <c r="C18" s="79">
        <v>9.1259958259874499E-2</v>
      </c>
      <c r="D18" s="79">
        <v>9.7586216637396903E-2</v>
      </c>
      <c r="E18" s="80">
        <v>0.107363532186765</v>
      </c>
      <c r="F18" s="79">
        <v>0.112913174518096</v>
      </c>
    </row>
    <row r="19" spans="2:8" ht="15" customHeight="1" x14ac:dyDescent="0.2">
      <c r="B19" s="78" t="s">
        <v>202</v>
      </c>
      <c r="C19" s="79">
        <v>8.6345955683182707E-2</v>
      </c>
      <c r="D19" s="79">
        <v>9.0517575643342299E-2</v>
      </c>
      <c r="E19" s="79">
        <v>9.4530248091009697E-2</v>
      </c>
      <c r="F19" s="79">
        <v>9.9145809798303799E-2</v>
      </c>
    </row>
    <row r="20" spans="2:8" ht="15" customHeight="1" x14ac:dyDescent="0.2">
      <c r="B20" s="78" t="s">
        <v>203</v>
      </c>
      <c r="C20" s="79">
        <v>8.1916354992580306E-2</v>
      </c>
      <c r="D20" s="79">
        <v>8.60235281283981E-2</v>
      </c>
      <c r="E20" s="79">
        <v>8.9886986134359401E-2</v>
      </c>
      <c r="F20" s="79">
        <v>9.2138459847790594E-2</v>
      </c>
    </row>
    <row r="21" spans="2:8" ht="15" customHeight="1" x14ac:dyDescent="0.2">
      <c r="B21" s="81"/>
    </row>
    <row r="23" spans="2:8" ht="16.5" customHeight="1" x14ac:dyDescent="0.2">
      <c r="B23" s="97" t="s">
        <v>204</v>
      </c>
      <c r="C23" s="97"/>
      <c r="D23" s="97"/>
      <c r="E23" s="97"/>
      <c r="F23" s="97"/>
      <c r="G23" s="97"/>
      <c r="H23" s="97"/>
    </row>
    <row r="25" spans="2:8" ht="15" customHeight="1" x14ac:dyDescent="0.2">
      <c r="B25" s="83" t="s">
        <v>205</v>
      </c>
      <c r="C25" s="83" t="s">
        <v>206</v>
      </c>
      <c r="D25" s="83" t="s">
        <v>207</v>
      </c>
      <c r="E25" s="83" t="s">
        <v>208</v>
      </c>
    </row>
    <row r="26" spans="2:8" ht="15" customHeight="1" x14ac:dyDescent="0.2">
      <c r="B26" s="82" t="s">
        <v>209</v>
      </c>
      <c r="C26" s="79">
        <v>0.10382682392458401</v>
      </c>
      <c r="D26" s="79">
        <v>0.110381227118292</v>
      </c>
      <c r="E26" s="79">
        <v>6.5544031937079901E-3</v>
      </c>
    </row>
    <row r="27" spans="2:8" ht="15" customHeight="1" x14ac:dyDescent="0.2">
      <c r="B27" s="82" t="s">
        <v>210</v>
      </c>
      <c r="C27" s="79">
        <v>9.2838787602815803E-2</v>
      </c>
      <c r="D27" s="79">
        <v>0.12438166800884801</v>
      </c>
      <c r="E27" s="79">
        <v>3.1542880406032203E-2</v>
      </c>
    </row>
    <row r="28" spans="2:8" ht="15" customHeight="1" x14ac:dyDescent="0.2">
      <c r="B28" s="82" t="s">
        <v>211</v>
      </c>
      <c r="C28" s="79">
        <v>9.1259958259874499E-2</v>
      </c>
      <c r="D28" s="79">
        <v>0.12518256289767701</v>
      </c>
      <c r="E28" s="79">
        <v>3.39226046378025E-2</v>
      </c>
    </row>
    <row r="29" spans="2:8" ht="15" customHeight="1" x14ac:dyDescent="0.2">
      <c r="B29" s="82" t="s">
        <v>212</v>
      </c>
      <c r="C29" s="79">
        <v>9.2139559426996004E-2</v>
      </c>
      <c r="D29" s="79">
        <v>0.130981731249838</v>
      </c>
      <c r="E29" s="79">
        <v>3.8842171822841998E-2</v>
      </c>
    </row>
    <row r="30" spans="2:8" ht="15" customHeight="1" x14ac:dyDescent="0.2">
      <c r="B30" s="81"/>
    </row>
    <row r="44" spans="2:2" x14ac:dyDescent="0.2">
      <c r="B44" s="98" t="s">
        <v>234</v>
      </c>
    </row>
    <row r="45" spans="2:2" x14ac:dyDescent="0.2">
      <c r="B45" s="98" t="s">
        <v>235</v>
      </c>
    </row>
    <row r="46" spans="2:2" x14ac:dyDescent="0.2">
      <c r="B46" s="99" t="s">
        <v>236</v>
      </c>
    </row>
  </sheetData>
  <mergeCells count="3">
    <mergeCell ref="B23:H23"/>
    <mergeCell ref="B5:H5"/>
    <mergeCell ref="B14:H14"/>
  </mergeCells>
  <conditionalFormatting sqref="C17:F20">
    <cfRule type="colorScale" priority="3">
      <colorScale>
        <cfvo type="min"/>
        <cfvo type="percentile" val="50"/>
        <cfvo type="max"/>
        <color rgb="FFF6C9C9"/>
        <color rgb="FFFFF3C4"/>
        <color rgb="FFC6E0C0"/>
      </colorScale>
    </cfRule>
  </conditionalFormatting>
  <conditionalFormatting sqref="C8:G11">
    <cfRule type="colorScale" priority="2">
      <colorScale>
        <cfvo type="min"/>
        <cfvo type="percentile" val="50"/>
        <cfvo type="max"/>
        <color rgb="FFF6C9C9"/>
        <color rgb="FFFFF3C4"/>
        <color rgb="FFC6E0C0"/>
      </colorScale>
    </cfRule>
  </conditionalFormatting>
  <hyperlinks>
    <hyperlink ref="B46" r:id="rId1" xr:uid="{29B9B5BD-D9E6-5144-A233-3A80BA90FCBB}"/>
  </hyperlinks>
  <pageMargins left="0.25" right="0.25" top="0.75" bottom="0.75" header="0.3" footer="0.3"/>
  <pageSetup paperSize="9" scale="85" orientation="portrait" horizontalDpi="300" verticalDpi="30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C23"/>
  <sheetViews>
    <sheetView showGridLines="0" zoomScale="106" zoomScaleNormal="106" workbookViewId="0">
      <selection activeCell="F18" sqref="F18"/>
    </sheetView>
  </sheetViews>
  <sheetFormatPr baseColWidth="10" defaultColWidth="10.5" defaultRowHeight="16" x14ac:dyDescent="0.2"/>
  <cols>
    <col min="1" max="1" width="3" customWidth="1"/>
    <col min="2" max="2" width="46" customWidth="1"/>
    <col min="3" max="3" width="16" customWidth="1"/>
  </cols>
  <sheetData>
    <row r="2" spans="2:3" ht="17.25" customHeight="1" x14ac:dyDescent="0.25">
      <c r="B2" s="16" t="s">
        <v>213</v>
      </c>
    </row>
    <row r="3" spans="2:3" ht="17.25" customHeight="1" x14ac:dyDescent="0.25">
      <c r="B3" s="16"/>
    </row>
    <row r="4" spans="2:3" ht="17.25" customHeight="1" x14ac:dyDescent="0.25">
      <c r="B4" s="16"/>
    </row>
    <row r="5" spans="2:3" ht="15.75" customHeight="1" x14ac:dyDescent="0.2">
      <c r="B5" s="67" t="s">
        <v>214</v>
      </c>
      <c r="C5" s="68" t="s">
        <v>215</v>
      </c>
    </row>
    <row r="6" spans="2:3" ht="15.75" customHeight="1" x14ac:dyDescent="0.2">
      <c r="B6" s="69"/>
      <c r="C6" s="70"/>
    </row>
    <row r="7" spans="2:3" ht="15.75" customHeight="1" x14ac:dyDescent="0.2">
      <c r="B7" s="71" t="s">
        <v>216</v>
      </c>
      <c r="C7" s="72" t="str">
        <f>IF(AND(C9,C10,C11,C12,C13,C14,C15,C16,C17,C18,C19,C20,C21,C22,C23),"ALL CHECKS PASS","ONE OR MORE CHECKS FAILED")</f>
        <v>ALL CHECKS PASS</v>
      </c>
    </row>
    <row r="9" spans="2:3" ht="15.75" customHeight="1" x14ac:dyDescent="0.2">
      <c r="B9" s="73" t="s">
        <v>217</v>
      </c>
      <c r="C9" s="74" t="b">
        <f>ABS(Construction!C44-Construction!C36)&lt;0.001</f>
        <v>1</v>
      </c>
    </row>
    <row r="10" spans="2:3" ht="15.75" customHeight="1" x14ac:dyDescent="0.2">
      <c r="B10" s="75" t="s">
        <v>218</v>
      </c>
      <c r="C10" s="74" t="b">
        <f>ABS((Construction!E14+Construction!F14)-Construction!C41)&lt;0.001</f>
        <v>1</v>
      </c>
    </row>
    <row r="11" spans="2:3" ht="15.75" customHeight="1" x14ac:dyDescent="0.2">
      <c r="B11" s="73" t="s">
        <v>219</v>
      </c>
      <c r="C11" s="74" t="b">
        <f>ABS((Construction!E15+Construction!F15)-Construction!C42)&lt;0.001</f>
        <v>1</v>
      </c>
    </row>
    <row r="12" spans="2:3" ht="15.75" customHeight="1" x14ac:dyDescent="0.2">
      <c r="B12" s="75" t="s">
        <v>220</v>
      </c>
      <c r="C12" s="74" t="b">
        <f>ABS(Debt!AP34) &lt; 0.001</f>
        <v>1</v>
      </c>
    </row>
    <row r="13" spans="2:3" ht="15.75" customHeight="1" x14ac:dyDescent="0.2">
      <c r="B13" s="73" t="s">
        <v>221</v>
      </c>
      <c r="C13" s="74" t="b">
        <f>MIN(Debt!E34:BD34) &gt; -0.001</f>
        <v>1</v>
      </c>
    </row>
    <row r="14" spans="2:3" ht="15.75" customHeight="1" x14ac:dyDescent="0.2">
      <c r="B14" s="75" t="s">
        <v>222</v>
      </c>
      <c r="C14" s="74" t="b">
        <f>ABS(Debt!AP46) &lt; 0.001</f>
        <v>1</v>
      </c>
    </row>
    <row r="15" spans="2:3" ht="15.75" customHeight="1" x14ac:dyDescent="0.2">
      <c r="B15" s="73" t="s">
        <v>223</v>
      </c>
      <c r="C15" s="74" t="b">
        <f>Debt!C39 &gt; 1.1</f>
        <v>1</v>
      </c>
    </row>
    <row r="16" spans="2:3" ht="15.75" customHeight="1" x14ac:dyDescent="0.2">
      <c r="B16" s="75" t="s">
        <v>224</v>
      </c>
      <c r="C16" s="74" t="b">
        <f>SUM(Timing!E10:BD10) = 2</f>
        <v>1</v>
      </c>
    </row>
    <row r="17" spans="2:3" ht="15.75" customHeight="1" x14ac:dyDescent="0.2">
      <c r="B17" s="73" t="s">
        <v>225</v>
      </c>
      <c r="C17" s="74" t="b">
        <f>SUM(Timing!E11:BD11) = 50</f>
        <v>1</v>
      </c>
    </row>
    <row r="18" spans="2:3" ht="15.75" customHeight="1" x14ac:dyDescent="0.2">
      <c r="B18" s="75" t="s">
        <v>226</v>
      </c>
      <c r="C18" s="74" t="b">
        <f>(SUM(Timing!E15:BD15) + SUM(Timing!E16:BD16)) = SUM(Timing!E11:BD11)</f>
        <v>1</v>
      </c>
    </row>
    <row r="19" spans="2:3" ht="15.75" customHeight="1" x14ac:dyDescent="0.2">
      <c r="B19" s="73" t="s">
        <v>227</v>
      </c>
      <c r="C19" s="74" t="b">
        <f>SUM(Timing!E17:BD17) = Inputs!C7</f>
        <v>1</v>
      </c>
    </row>
    <row r="20" spans="2:3" ht="15.75" customHeight="1" x14ac:dyDescent="0.2">
      <c r="B20" s="75" t="s">
        <v>228</v>
      </c>
      <c r="C20" s="74" t="b">
        <f>SUM(Timing!E18:BD18) = Inputs!C25</f>
        <v>1</v>
      </c>
    </row>
    <row r="21" spans="2:3" ht="15.75" customHeight="1" x14ac:dyDescent="0.2">
      <c r="B21" s="73" t="s">
        <v>229</v>
      </c>
      <c r="C21" s="74" t="b">
        <f>ABS(SUM(Operations!E27:BD27) - Construction!C36) &lt; 0.01</f>
        <v>1</v>
      </c>
    </row>
    <row r="22" spans="2:3" ht="15.75" customHeight="1" x14ac:dyDescent="0.2">
      <c r="B22" s="75" t="s">
        <v>230</v>
      </c>
      <c r="C22" s="74" t="b">
        <f>ABS(SUM(Operations!G12:H12) - (Inputs!C9*Inputs!C10*Inputs!C12/1000)) &lt; 1</f>
        <v>1</v>
      </c>
    </row>
    <row r="23" spans="2:3" ht="15.75" customHeight="1" x14ac:dyDescent="0.2">
      <c r="B23" s="73" t="s">
        <v>102</v>
      </c>
      <c r="C23" s="74" t="b">
        <f>AND(ABS(Construction!E22)&lt;0.001, ABS(Construction!F22)&lt;0.001)</f>
        <v>1</v>
      </c>
    </row>
  </sheetData>
  <conditionalFormatting sqref="C1:C1048576">
    <cfRule type="containsText" dxfId="3" priority="2" operator="containsText" text="TRUE">
      <formula>NOT(ISERROR(SEARCH("TRUE",C1)))</formula>
    </cfRule>
    <cfRule type="containsText" dxfId="2" priority="3" operator="containsText" text="FALSE">
      <formula>NOT(ISERROR(SEARCH("FALSE",C1)))</formula>
    </cfRule>
  </conditionalFormatting>
  <conditionalFormatting sqref="C9:C23">
    <cfRule type="cellIs" dxfId="1" priority="4" operator="equal">
      <formula>1</formula>
    </cfRule>
    <cfRule type="cellIs" dxfId="0" priority="5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Cover</vt:lpstr>
      <vt:lpstr>Inputs</vt:lpstr>
      <vt:lpstr>Timing</vt:lpstr>
      <vt:lpstr>Construction</vt:lpstr>
      <vt:lpstr>Operations</vt:lpstr>
      <vt:lpstr>Debt</vt:lpstr>
      <vt:lpstr>Returns</vt:lpstr>
      <vt:lpstr>Sensitivities</vt:lpstr>
      <vt:lpstr>Checks</vt:lpstr>
      <vt:lpstr>Checks!Print_Area</vt:lpstr>
      <vt:lpstr>Cover!Print_Area</vt:lpstr>
      <vt:lpstr>Sensitivities!Print_Area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Saud Shaikh</dc:creator>
  <dc:description/>
  <cp:lastModifiedBy>Saud Shaikh</cp:lastModifiedBy>
  <cp:revision>2</cp:revision>
  <cp:lastPrinted>2026-08-09T07:34:06Z</cp:lastPrinted>
  <dcterms:created xsi:type="dcterms:W3CDTF">2026-07-31T07:22:55Z</dcterms:created>
  <dcterms:modified xsi:type="dcterms:W3CDTF">2026-08-10T09:15:01Z</dcterms:modified>
  <dc:language>en-US</dc:language>
</cp:coreProperties>
</file>